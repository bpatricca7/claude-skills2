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st Model Detail" sheetId="2" state="visible" r:id="rId2"/>
    <sheet name="Summary by Location" sheetId="3" state="visible" r:id="rId3"/>
    <sheet name="Summary by Labor 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sz val="11"/>
    </font>
    <font>
      <b val="1"/>
    </font>
    <font>
      <b val="1"/>
      <sz val="14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pivotButton="0" quotePrefix="0" xfId="0"/>
    <xf numFmtId="3" fontId="2" fillId="4" borderId="0" pivotButton="0" quotePrefix="0" xfId="0"/>
    <xf numFmtId="164" fontId="2" fillId="4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3" fontId="4" fillId="4" borderId="0" pivotButton="0" quotePrefix="0" xfId="0"/>
    <xf numFmtId="164" fontId="4" fillId="4" borderId="0" pivotButton="0" quotePrefix="0" xfId="0"/>
    <xf numFmtId="0" fontId="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 ht="25" customHeight="1">
      <c r="A1" s="1" t="inlineStr">
        <is>
          <t>EXECUTIVE SUMMARY - CONTRACT COST MODEL</t>
        </is>
      </c>
    </row>
    <row r="3">
      <c r="A3" s="2" t="inlineStr">
        <is>
          <t>CONTRACT: N6426725R3006</t>
        </is>
      </c>
    </row>
    <row r="5">
      <c r="A5" s="3" t="inlineStr">
        <is>
          <t>COST SUMMARY BY PERIOD</t>
        </is>
      </c>
    </row>
    <row r="6">
      <c r="A6" s="3" t="inlineStr">
        <is>
          <t>Period</t>
        </is>
      </c>
      <c r="B6" s="3" t="inlineStr">
        <is>
          <t>Hours</t>
        </is>
      </c>
      <c r="C6" s="3" t="inlineStr">
        <is>
          <t>Total Cost</t>
        </is>
      </c>
    </row>
    <row r="7">
      <c r="A7" t="inlineStr">
        <is>
          <t>Base Period</t>
        </is>
      </c>
      <c r="B7" s="4" t="n">
        <v>9477975.199999999</v>
      </c>
      <c r="C7" s="5" t="n">
        <v>880955855.0841864</v>
      </c>
    </row>
    <row r="8">
      <c r="A8" t="inlineStr">
        <is>
          <t>Option Year 1</t>
        </is>
      </c>
      <c r="B8" s="4" t="n">
        <v>1895595.06</v>
      </c>
      <c r="C8" s="5" t="n">
        <v>176191171.8645395</v>
      </c>
    </row>
    <row r="9">
      <c r="A9" t="inlineStr">
        <is>
          <t>Option Year 2</t>
        </is>
      </c>
      <c r="B9" s="4" t="n">
        <v>1895595.06</v>
      </c>
      <c r="C9" s="5" t="n">
        <v>176191171.8645395</v>
      </c>
    </row>
    <row r="10">
      <c r="A10" t="inlineStr">
        <is>
          <t>Option Year 3</t>
        </is>
      </c>
      <c r="B10" s="4" t="n">
        <v>1895595.06</v>
      </c>
      <c r="C10" s="5" t="n">
        <v>176191171.8645395</v>
      </c>
    </row>
    <row r="11">
      <c r="A11" t="inlineStr">
        <is>
          <t>Option Year 4</t>
        </is>
      </c>
      <c r="B11" s="4" t="n">
        <v>1895595.06</v>
      </c>
      <c r="C11" s="5" t="n">
        <v>176191171.8645395</v>
      </c>
    </row>
    <row r="12">
      <c r="A12" s="6" t="inlineStr">
        <is>
          <t>TOTAL CONTRACT VALUE</t>
        </is>
      </c>
      <c r="B12" s="7" t="n">
        <v>17060355.44</v>
      </c>
      <c r="C12" s="8" t="n">
        <v>1585720542.542345</v>
      </c>
    </row>
    <row r="14">
      <c r="A14" s="3" t="inlineStr">
        <is>
          <t>COST BUILDUP (Base Period)</t>
        </is>
      </c>
    </row>
    <row r="15">
      <c r="A15" t="inlineStr">
        <is>
          <t>Direct Labor</t>
        </is>
      </c>
      <c r="C15" s="5" t="n">
        <v>558688971.64</v>
      </c>
    </row>
    <row r="16">
      <c r="A16" t="inlineStr">
        <is>
          <t>Fringe (35%)</t>
        </is>
      </c>
      <c r="C16" s="5" t="n">
        <v>195541140.074</v>
      </c>
    </row>
    <row r="17">
      <c r="A17" t="inlineStr">
        <is>
          <t>Overhead (5%)</t>
        </is>
      </c>
      <c r="C17" s="5" t="n">
        <v>37711505.5857</v>
      </c>
    </row>
    <row r="18">
      <c r="A18" t="inlineStr">
        <is>
          <t>G&amp;A (3%)</t>
        </is>
      </c>
      <c r="C18" s="5" t="n">
        <v>23758248.518991</v>
      </c>
    </row>
    <row r="19">
      <c r="A19" s="9" t="inlineStr">
        <is>
          <t>Subtotal</t>
        </is>
      </c>
      <c r="C19" s="10" t="n">
        <v>815699865.818691</v>
      </c>
    </row>
    <row r="20">
      <c r="A20" t="inlineStr">
        <is>
          <t>Fee (8%)</t>
        </is>
      </c>
      <c r="C20" s="5" t="n">
        <v>65255989.26549529</v>
      </c>
    </row>
    <row r="21">
      <c r="A21" s="9" t="inlineStr">
        <is>
          <t>Total</t>
        </is>
      </c>
      <c r="C21" s="10" t="n">
        <v>880955855.0841863</v>
      </c>
    </row>
  </sheetData>
  <mergeCells count="3">
    <mergeCell ref="A5:C5"/>
    <mergeCell ref="A14:C1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1" t="inlineStr">
        <is>
          <t>GOVERNMENT CONTRACT COST MODEL - N6426725R3006</t>
        </is>
      </c>
    </row>
    <row r="2">
      <c r="A2" s="12" t="inlineStr">
        <is>
          <t>Detailed Cost Breakdown by Labor Category and Location</t>
        </is>
      </c>
    </row>
    <row r="11">
      <c r="A11" s="13" t="inlineStr">
        <is>
          <t>Location</t>
        </is>
      </c>
      <c r="B11" s="13" t="inlineStr">
        <is>
          <t>Labor Category</t>
        </is>
      </c>
      <c r="C11" s="13" t="inlineStr">
        <is>
          <t>Labor Type</t>
        </is>
      </c>
      <c r="D11" s="13" t="inlineStr">
        <is>
          <t>Exempt</t>
        </is>
      </c>
      <c r="E11" s="13" t="inlineStr">
        <is>
          <t>Hourly Rate</t>
        </is>
      </c>
      <c r="F11" s="13" t="inlineStr">
        <is>
          <t>Base Hours</t>
        </is>
      </c>
      <c r="G11" s="13" t="inlineStr">
        <is>
          <t>Base DL</t>
        </is>
      </c>
      <c r="H11" s="13" t="inlineStr">
        <is>
          <t>Base Fringe</t>
        </is>
      </c>
      <c r="I11" s="13" t="inlineStr">
        <is>
          <t>Base OH</t>
        </is>
      </c>
      <c r="J11" s="13" t="inlineStr">
        <is>
          <t>Base G&amp;A</t>
        </is>
      </c>
      <c r="K11" s="13" t="inlineStr">
        <is>
          <t>Base Subtotal</t>
        </is>
      </c>
      <c r="L11" s="13" t="inlineStr">
        <is>
          <t>Base Fee</t>
        </is>
      </c>
      <c r="M11" s="13" t="inlineStr">
        <is>
          <t>Base Total</t>
        </is>
      </c>
      <c r="N11" s="13" t="inlineStr">
        <is>
          <t>OY1 Hours</t>
        </is>
      </c>
      <c r="O11" s="13" t="inlineStr">
        <is>
          <t>OY1 Total</t>
        </is>
      </c>
      <c r="P11" s="13" t="inlineStr">
        <is>
          <t>OY2 Hours</t>
        </is>
      </c>
      <c r="Q11" s="13" t="inlineStr">
        <is>
          <t>OY2 Total</t>
        </is>
      </c>
      <c r="R11" s="13" t="inlineStr">
        <is>
          <t>OY3 Hours</t>
        </is>
      </c>
      <c r="S11" s="13" t="inlineStr">
        <is>
          <t>OY3 Total</t>
        </is>
      </c>
      <c r="T11" s="13" t="inlineStr">
        <is>
          <t>OY4 Hours</t>
        </is>
      </c>
      <c r="U11" s="13" t="inlineStr">
        <is>
          <t>OY4 Total</t>
        </is>
      </c>
      <c r="V11" s="13" t="inlineStr">
        <is>
          <t>Total Hours</t>
        </is>
      </c>
      <c r="W11" s="13" t="inlineStr">
        <is>
          <t>Total Cost</t>
        </is>
      </c>
    </row>
    <row r="12">
      <c r="A12" t="inlineStr">
        <is>
          <t>Beaufort</t>
        </is>
      </c>
      <c r="B12" t="inlineStr">
        <is>
          <t>Site Manager</t>
        </is>
      </c>
      <c r="C12" t="inlineStr">
        <is>
          <t>Non-SCA</t>
        </is>
      </c>
      <c r="D12" t="inlineStr">
        <is>
          <t>Exempt</t>
        </is>
      </c>
      <c r="E12" s="5" t="n">
        <v>95</v>
      </c>
      <c r="F12" s="4" t="n">
        <v>9560</v>
      </c>
      <c r="G12" s="5">
        <f>E12*F12</f>
        <v/>
      </c>
      <c r="H12" s="5">
        <f>G12*0.35</f>
        <v/>
      </c>
      <c r="I12" s="5">
        <f>(G12+H12)*0.05</f>
        <v/>
      </c>
      <c r="J12" s="5">
        <f>(G12+H12+I12)*0.03</f>
        <v/>
      </c>
      <c r="K12" s="5">
        <f>G12+H12+I12+J12</f>
        <v/>
      </c>
      <c r="L12" s="5">
        <f>K12*0.08</f>
        <v/>
      </c>
      <c r="M12" s="5">
        <f>K12+L12</f>
        <v/>
      </c>
      <c r="N12" s="4" t="n">
        <v>1912</v>
      </c>
      <c r="O12" s="5">
        <f>(E12*N12)*1.35*1.05*1.03*1.08</f>
        <v/>
      </c>
      <c r="P12" s="4" t="n">
        <v>1912</v>
      </c>
      <c r="Q12" s="5">
        <f>(E12*P12)*1.35*1.05*1.03*1.08</f>
        <v/>
      </c>
      <c r="R12" s="4" t="n">
        <v>1912</v>
      </c>
      <c r="S12" s="5">
        <f>(E12*R12)*1.35*1.05*1.03*1.08</f>
        <v/>
      </c>
      <c r="T12" s="4" t="n">
        <v>1912</v>
      </c>
      <c r="U12" s="5">
        <f>(E12*T12)*1.35*1.05*1.03*1.08</f>
        <v/>
      </c>
      <c r="V12" s="4">
        <f>F12+N12+P12+R12+T12</f>
        <v/>
      </c>
      <c r="W12" s="5">
        <f>M12+O12+Q12+S12+U12</f>
        <v/>
      </c>
    </row>
    <row r="13">
      <c r="A13" t="inlineStr">
        <is>
          <t>Beaufort</t>
        </is>
      </c>
      <c r="B13" t="inlineStr">
        <is>
          <t>Mission Coordinator</t>
        </is>
      </c>
      <c r="C13" t="inlineStr">
        <is>
          <t>Non-SCA</t>
        </is>
      </c>
      <c r="D13" t="inlineStr">
        <is>
          <t>Exempt</t>
        </is>
      </c>
      <c r="E13" s="5" t="n">
        <v>85</v>
      </c>
      <c r="F13" s="4" t="n">
        <v>19120</v>
      </c>
      <c r="G13" s="5">
        <f>E13*F13</f>
        <v/>
      </c>
      <c r="H13" s="5">
        <f>G13*0.35</f>
        <v/>
      </c>
      <c r="I13" s="5">
        <f>(G13+H13)*0.05</f>
        <v/>
      </c>
      <c r="J13" s="5">
        <f>(G13+H13+I13)*0.03</f>
        <v/>
      </c>
      <c r="K13" s="5">
        <f>G13+H13+I13+J13</f>
        <v/>
      </c>
      <c r="L13" s="5">
        <f>K13*0.08</f>
        <v/>
      </c>
      <c r="M13" s="5">
        <f>K13+L13</f>
        <v/>
      </c>
      <c r="N13" s="4" t="n">
        <v>3824</v>
      </c>
      <c r="O13" s="5">
        <f>(E13*N13)*1.35*1.05*1.03*1.08</f>
        <v/>
      </c>
      <c r="P13" s="4" t="n">
        <v>3824</v>
      </c>
      <c r="Q13" s="5">
        <f>(E13*P13)*1.35*1.05*1.03*1.08</f>
        <v/>
      </c>
      <c r="R13" s="4" t="n">
        <v>3824</v>
      </c>
      <c r="S13" s="5">
        <f>(E13*R13)*1.35*1.05*1.03*1.08</f>
        <v/>
      </c>
      <c r="T13" s="4" t="n">
        <v>3824</v>
      </c>
      <c r="U13" s="5">
        <f>(E13*T13)*1.35*1.05*1.03*1.08</f>
        <v/>
      </c>
      <c r="V13" s="4">
        <f>F13+N13+P13+R13+T13</f>
        <v/>
      </c>
      <c r="W13" s="5">
        <f>M13+O13+Q13+S13+U13</f>
        <v/>
      </c>
    </row>
    <row r="14">
      <c r="A14" t="inlineStr">
        <is>
          <t>Beaufort</t>
        </is>
      </c>
      <c r="B14" t="inlineStr">
        <is>
          <t>Mission Coordinator, Senior</t>
        </is>
      </c>
      <c r="C14" t="inlineStr">
        <is>
          <t>Non-SCA</t>
        </is>
      </c>
      <c r="D14" t="inlineStr">
        <is>
          <t>Exempt</t>
        </is>
      </c>
      <c r="E14" s="5" t="n">
        <v>95</v>
      </c>
      <c r="F14" s="4" t="n">
        <v>9560</v>
      </c>
      <c r="G14" s="5">
        <f>E14*F14</f>
        <v/>
      </c>
      <c r="H14" s="5">
        <f>G14*0.35</f>
        <v/>
      </c>
      <c r="I14" s="5">
        <f>(G14+H14)*0.05</f>
        <v/>
      </c>
      <c r="J14" s="5">
        <f>(G14+H14+I14)*0.03</f>
        <v/>
      </c>
      <c r="K14" s="5">
        <f>G14+H14+I14+J14</f>
        <v/>
      </c>
      <c r="L14" s="5">
        <f>K14*0.08</f>
        <v/>
      </c>
      <c r="M14" s="5">
        <f>K14+L14</f>
        <v/>
      </c>
      <c r="N14" s="4" t="n">
        <v>1912</v>
      </c>
      <c r="O14" s="5">
        <f>(E14*N14)*1.35*1.05*1.03*1.08</f>
        <v/>
      </c>
      <c r="P14" s="4" t="n">
        <v>1912</v>
      </c>
      <c r="Q14" s="5">
        <f>(E14*P14)*1.35*1.05*1.03*1.08</f>
        <v/>
      </c>
      <c r="R14" s="4" t="n">
        <v>1912</v>
      </c>
      <c r="S14" s="5">
        <f>(E14*R14)*1.35*1.05*1.03*1.08</f>
        <v/>
      </c>
      <c r="T14" s="4" t="n">
        <v>1912</v>
      </c>
      <c r="U14" s="5">
        <f>(E14*T14)*1.35*1.05*1.03*1.08</f>
        <v/>
      </c>
      <c r="V14" s="4">
        <f>F14+N14+P14+R14+T14</f>
        <v/>
      </c>
      <c r="W14" s="5">
        <f>M14+O14+Q14+S14+U14</f>
        <v/>
      </c>
    </row>
    <row r="15">
      <c r="A15" t="inlineStr">
        <is>
          <t>Beaufort</t>
        </is>
      </c>
      <c r="B15" t="inlineStr">
        <is>
          <t>Computer Operator V</t>
        </is>
      </c>
      <c r="C15" t="inlineStr">
        <is>
          <t>SCA</t>
        </is>
      </c>
      <c r="D15" t="inlineStr">
        <is>
          <t>SCLS</t>
        </is>
      </c>
      <c r="E15" s="5" t="n">
        <v>31.62</v>
      </c>
      <c r="F15" s="4" t="n">
        <v>38240</v>
      </c>
      <c r="G15" s="5">
        <f>E15*F15</f>
        <v/>
      </c>
      <c r="H15" s="5">
        <f>G15*0.35</f>
        <v/>
      </c>
      <c r="I15" s="5">
        <f>(G15+H15)*0.05</f>
        <v/>
      </c>
      <c r="J15" s="5">
        <f>(G15+H15+I15)*0.03</f>
        <v/>
      </c>
      <c r="K15" s="5">
        <f>G15+H15+I15+J15</f>
        <v/>
      </c>
      <c r="L15" s="5">
        <f>K15*0.08</f>
        <v/>
      </c>
      <c r="M15" s="5">
        <f>K15+L15</f>
        <v/>
      </c>
      <c r="N15" s="4" t="n">
        <v>7648</v>
      </c>
      <c r="O15" s="5">
        <f>(E15*N15)*1.35*1.05*1.03*1.08</f>
        <v/>
      </c>
      <c r="P15" s="4" t="n">
        <v>7648</v>
      </c>
      <c r="Q15" s="5">
        <f>(E15*P15)*1.35*1.05*1.03*1.08</f>
        <v/>
      </c>
      <c r="R15" s="4" t="n">
        <v>7648</v>
      </c>
      <c r="S15" s="5">
        <f>(E15*R15)*1.35*1.05*1.03*1.08</f>
        <v/>
      </c>
      <c r="T15" s="4" t="n">
        <v>7648</v>
      </c>
      <c r="U15" s="5">
        <f>(E15*T15)*1.35*1.05*1.03*1.08</f>
        <v/>
      </c>
      <c r="V15" s="4">
        <f>F15+N15+P15+R15+T15</f>
        <v/>
      </c>
      <c r="W15" s="5">
        <f>M15+O15+Q15+S15+U15</f>
        <v/>
      </c>
    </row>
    <row r="16">
      <c r="A16" t="inlineStr">
        <is>
          <t>Beaufort</t>
        </is>
      </c>
      <c r="B16" t="inlineStr">
        <is>
          <t>Electronics Technician III</t>
        </is>
      </c>
      <c r="C16" t="inlineStr">
        <is>
          <t>SCA</t>
        </is>
      </c>
      <c r="D16" t="inlineStr">
        <is>
          <t>SCLS</t>
        </is>
      </c>
      <c r="E16" s="5" t="n">
        <v>28.42</v>
      </c>
      <c r="F16" s="4" t="n">
        <v>57360</v>
      </c>
      <c r="G16" s="5">
        <f>E16*F16</f>
        <v/>
      </c>
      <c r="H16" s="5">
        <f>G16*0.35</f>
        <v/>
      </c>
      <c r="I16" s="5">
        <f>(G16+H16)*0.05</f>
        <v/>
      </c>
      <c r="J16" s="5">
        <f>(G16+H16+I16)*0.03</f>
        <v/>
      </c>
      <c r="K16" s="5">
        <f>G16+H16+I16+J16</f>
        <v/>
      </c>
      <c r="L16" s="5">
        <f>K16*0.08</f>
        <v/>
      </c>
      <c r="M16" s="5">
        <f>K16+L16</f>
        <v/>
      </c>
      <c r="N16" s="4" t="n">
        <v>11472</v>
      </c>
      <c r="O16" s="5">
        <f>(E16*N16)*1.35*1.05*1.03*1.08</f>
        <v/>
      </c>
      <c r="P16" s="4" t="n">
        <v>11472</v>
      </c>
      <c r="Q16" s="5">
        <f>(E16*P16)*1.35*1.05*1.03*1.08</f>
        <v/>
      </c>
      <c r="R16" s="4" t="n">
        <v>11472</v>
      </c>
      <c r="S16" s="5">
        <f>(E16*R16)*1.35*1.05*1.03*1.08</f>
        <v/>
      </c>
      <c r="T16" s="4" t="n">
        <v>11472</v>
      </c>
      <c r="U16" s="5">
        <f>(E16*T16)*1.35*1.05*1.03*1.08</f>
        <v/>
      </c>
      <c r="V16" s="4">
        <f>F16+N16+P16+R16+T16</f>
        <v/>
      </c>
      <c r="W16" s="5">
        <f>M16+O16+Q16+S16+U16</f>
        <v/>
      </c>
    </row>
    <row r="17">
      <c r="A17" t="inlineStr">
        <is>
          <t>Beaufort</t>
        </is>
      </c>
      <c r="B17" t="inlineStr">
        <is>
          <t>Engineering Technician V</t>
        </is>
      </c>
      <c r="C17" t="inlineStr">
        <is>
          <t>SCA</t>
        </is>
      </c>
      <c r="D17" t="inlineStr">
        <is>
          <t>SCLS</t>
        </is>
      </c>
      <c r="E17" s="5" t="n">
        <v>31.86</v>
      </c>
      <c r="F17" s="4" t="n">
        <v>9560</v>
      </c>
      <c r="G17" s="5">
        <f>E17*F17</f>
        <v/>
      </c>
      <c r="H17" s="5">
        <f>G17*0.35</f>
        <v/>
      </c>
      <c r="I17" s="5">
        <f>(G17+H17)*0.05</f>
        <v/>
      </c>
      <c r="J17" s="5">
        <f>(G17+H17+I17)*0.03</f>
        <v/>
      </c>
      <c r="K17" s="5">
        <f>G17+H17+I17+J17</f>
        <v/>
      </c>
      <c r="L17" s="5">
        <f>K17*0.08</f>
        <v/>
      </c>
      <c r="M17" s="5">
        <f>K17+L17</f>
        <v/>
      </c>
      <c r="N17" s="4" t="n">
        <v>1912</v>
      </c>
      <c r="O17" s="5">
        <f>(E17*N17)*1.35*1.05*1.03*1.08</f>
        <v/>
      </c>
      <c r="P17" s="4" t="n">
        <v>1912</v>
      </c>
      <c r="Q17" s="5">
        <f>(E17*P17)*1.35*1.05*1.03*1.08</f>
        <v/>
      </c>
      <c r="R17" s="4" t="n">
        <v>1912</v>
      </c>
      <c r="S17" s="5">
        <f>(E17*R17)*1.35*1.05*1.03*1.08</f>
        <v/>
      </c>
      <c r="T17" s="4" t="n">
        <v>1912</v>
      </c>
      <c r="U17" s="5">
        <f>(E17*T17)*1.35*1.05*1.03*1.08</f>
        <v/>
      </c>
      <c r="V17" s="4">
        <f>F17+N17+P17+R17+T17</f>
        <v/>
      </c>
      <c r="W17" s="5">
        <f>M17+O17+Q17+S17+U17</f>
        <v/>
      </c>
    </row>
    <row r="18">
      <c r="A18" t="inlineStr">
        <is>
          <t>Beaufort</t>
        </is>
      </c>
      <c r="B18" t="inlineStr">
        <is>
          <t>Supply Technician</t>
        </is>
      </c>
      <c r="C18" t="inlineStr">
        <is>
          <t>SCA</t>
        </is>
      </c>
      <c r="D18" t="inlineStr">
        <is>
          <t>SCLS</t>
        </is>
      </c>
      <c r="E18" s="5" t="n">
        <v>29.44</v>
      </c>
      <c r="F18" s="4" t="n">
        <v>9560</v>
      </c>
      <c r="G18" s="5">
        <f>E18*F18</f>
        <v/>
      </c>
      <c r="H18" s="5">
        <f>G18*0.35</f>
        <v/>
      </c>
      <c r="I18" s="5">
        <f>(G18+H18)*0.05</f>
        <v/>
      </c>
      <c r="J18" s="5">
        <f>(G18+H18+I18)*0.03</f>
        <v/>
      </c>
      <c r="K18" s="5">
        <f>G18+H18+I18+J18</f>
        <v/>
      </c>
      <c r="L18" s="5">
        <f>K18*0.08</f>
        <v/>
      </c>
      <c r="M18" s="5">
        <f>K18+L18</f>
        <v/>
      </c>
      <c r="N18" s="4" t="n">
        <v>1912</v>
      </c>
      <c r="O18" s="5">
        <f>(E18*N18)*1.35*1.05*1.03*1.08</f>
        <v/>
      </c>
      <c r="P18" s="4" t="n">
        <v>1912</v>
      </c>
      <c r="Q18" s="5">
        <f>(E18*P18)*1.35*1.05*1.03*1.08</f>
        <v/>
      </c>
      <c r="R18" s="4" t="n">
        <v>1912</v>
      </c>
      <c r="S18" s="5">
        <f>(E18*R18)*1.35*1.05*1.03*1.08</f>
        <v/>
      </c>
      <c r="T18" s="4" t="n">
        <v>1912</v>
      </c>
      <c r="U18" s="5">
        <f>(E18*T18)*1.35*1.05*1.03*1.08</f>
        <v/>
      </c>
      <c r="V18" s="4">
        <f>F18+N18+P18+R18+T18</f>
        <v/>
      </c>
      <c r="W18" s="5">
        <f>M18+O18+Q18+S18+U18</f>
        <v/>
      </c>
    </row>
    <row r="19">
      <c r="A19" t="inlineStr">
        <is>
          <t>Beaufort</t>
        </is>
      </c>
      <c r="B19" t="inlineStr">
        <is>
          <t>Security Coordinator</t>
        </is>
      </c>
      <c r="C19" t="inlineStr">
        <is>
          <t>Non-SCA</t>
        </is>
      </c>
      <c r="D19" t="inlineStr">
        <is>
          <t>Exempt</t>
        </is>
      </c>
      <c r="E19" s="5" t="n">
        <v>70</v>
      </c>
      <c r="F19" s="4" t="n">
        <v>9560</v>
      </c>
      <c r="G19" s="5">
        <f>E19*F19</f>
        <v/>
      </c>
      <c r="H19" s="5">
        <f>G19*0.35</f>
        <v/>
      </c>
      <c r="I19" s="5">
        <f>(G19+H19)*0.05</f>
        <v/>
      </c>
      <c r="J19" s="5">
        <f>(G19+H19+I19)*0.03</f>
        <v/>
      </c>
      <c r="K19" s="5">
        <f>G19+H19+I19+J19</f>
        <v/>
      </c>
      <c r="L19" s="5">
        <f>K19*0.08</f>
        <v/>
      </c>
      <c r="M19" s="5">
        <f>K19+L19</f>
        <v/>
      </c>
      <c r="N19" s="4" t="n">
        <v>1912</v>
      </c>
      <c r="O19" s="5">
        <f>(E19*N19)*1.35*1.05*1.03*1.08</f>
        <v/>
      </c>
      <c r="P19" s="4" t="n">
        <v>1912</v>
      </c>
      <c r="Q19" s="5">
        <f>(E19*P19)*1.35*1.05*1.03*1.08</f>
        <v/>
      </c>
      <c r="R19" s="4" t="n">
        <v>1912</v>
      </c>
      <c r="S19" s="5">
        <f>(E19*R19)*1.35*1.05*1.03*1.08</f>
        <v/>
      </c>
      <c r="T19" s="4" t="n">
        <v>1912</v>
      </c>
      <c r="U19" s="5">
        <f>(E19*T19)*1.35*1.05*1.03*1.08</f>
        <v/>
      </c>
      <c r="V19" s="4">
        <f>F19+N19+P19+R19+T19</f>
        <v/>
      </c>
      <c r="W19" s="5">
        <f>M19+O19+Q19+S19+U19</f>
        <v/>
      </c>
    </row>
    <row r="20">
      <c r="A20" t="inlineStr">
        <is>
          <t>Beaufort</t>
        </is>
      </c>
      <c r="B20" t="inlineStr">
        <is>
          <t>Quality Assurance/Safety Evaluator</t>
        </is>
      </c>
      <c r="C20" t="inlineStr">
        <is>
          <t>Non-SCA</t>
        </is>
      </c>
      <c r="D20" t="inlineStr">
        <is>
          <t>Exempt</t>
        </is>
      </c>
      <c r="E20" s="5" t="n">
        <v>75</v>
      </c>
      <c r="F20" s="4" t="n">
        <v>19120</v>
      </c>
      <c r="G20" s="5">
        <f>E20*F20</f>
        <v/>
      </c>
      <c r="H20" s="5">
        <f>G20*0.35</f>
        <v/>
      </c>
      <c r="I20" s="5">
        <f>(G20+H20)*0.05</f>
        <v/>
      </c>
      <c r="J20" s="5">
        <f>(G20+H20+I20)*0.03</f>
        <v/>
      </c>
      <c r="K20" s="5">
        <f>G20+H20+I20+J20</f>
        <v/>
      </c>
      <c r="L20" s="5">
        <f>K20*0.08</f>
        <v/>
      </c>
      <c r="M20" s="5">
        <f>K20+L20</f>
        <v/>
      </c>
      <c r="N20" s="4" t="n">
        <v>3824</v>
      </c>
      <c r="O20" s="5">
        <f>(E20*N20)*1.35*1.05*1.03*1.08</f>
        <v/>
      </c>
      <c r="P20" s="4" t="n">
        <v>3824</v>
      </c>
      <c r="Q20" s="5">
        <f>(E20*P20)*1.35*1.05*1.03*1.08</f>
        <v/>
      </c>
      <c r="R20" s="4" t="n">
        <v>3824</v>
      </c>
      <c r="S20" s="5">
        <f>(E20*R20)*1.35*1.05*1.03*1.08</f>
        <v/>
      </c>
      <c r="T20" s="4" t="n">
        <v>3824</v>
      </c>
      <c r="U20" s="5">
        <f>(E20*T20)*1.35*1.05*1.03*1.08</f>
        <v/>
      </c>
      <c r="V20" s="4">
        <f>F20+N20+P20+R20+T20</f>
        <v/>
      </c>
      <c r="W20" s="5">
        <f>M20+O20+Q20+S20+U20</f>
        <v/>
      </c>
    </row>
    <row r="21">
      <c r="A21" t="inlineStr">
        <is>
          <t>CP</t>
        </is>
      </c>
      <c r="B21" t="inlineStr">
        <is>
          <t>Site Manager</t>
        </is>
      </c>
      <c r="C21" t="inlineStr">
        <is>
          <t>Non-SCA</t>
        </is>
      </c>
      <c r="D21" t="inlineStr">
        <is>
          <t>Exempt</t>
        </is>
      </c>
      <c r="E21" s="5" t="n">
        <v>95</v>
      </c>
      <c r="F21" s="4" t="n">
        <v>9560</v>
      </c>
      <c r="G21" s="5">
        <f>E21*F21</f>
        <v/>
      </c>
      <c r="H21" s="5">
        <f>G21*0.35</f>
        <v/>
      </c>
      <c r="I21" s="5">
        <f>(G21+H21)*0.05</f>
        <v/>
      </c>
      <c r="J21" s="5">
        <f>(G21+H21+I21)*0.03</f>
        <v/>
      </c>
      <c r="K21" s="5">
        <f>G21+H21+I21+J21</f>
        <v/>
      </c>
      <c r="L21" s="5">
        <f>K21*0.08</f>
        <v/>
      </c>
      <c r="M21" s="5">
        <f>K21+L21</f>
        <v/>
      </c>
      <c r="N21" s="4" t="n">
        <v>1912</v>
      </c>
      <c r="O21" s="5">
        <f>(E21*N21)*1.35*1.05*1.03*1.08</f>
        <v/>
      </c>
      <c r="P21" s="4" t="n">
        <v>1912</v>
      </c>
      <c r="Q21" s="5">
        <f>(E21*P21)*1.35*1.05*1.03*1.08</f>
        <v/>
      </c>
      <c r="R21" s="4" t="n">
        <v>1912</v>
      </c>
      <c r="S21" s="5">
        <f>(E21*R21)*1.35*1.05*1.03*1.08</f>
        <v/>
      </c>
      <c r="T21" s="4" t="n">
        <v>1912</v>
      </c>
      <c r="U21" s="5">
        <f>(E21*T21)*1.35*1.05*1.03*1.08</f>
        <v/>
      </c>
      <c r="V21" s="4">
        <f>F21+N21+P21+R21+T21</f>
        <v/>
      </c>
      <c r="W21" s="5">
        <f>M21+O21+Q21+S21+U21</f>
        <v/>
      </c>
    </row>
    <row r="22">
      <c r="A22" t="inlineStr">
        <is>
          <t>CP</t>
        </is>
      </c>
      <c r="B22" t="inlineStr">
        <is>
          <t>Mission Coordinator</t>
        </is>
      </c>
      <c r="C22" t="inlineStr">
        <is>
          <t>Non-SCA</t>
        </is>
      </c>
      <c r="D22" t="inlineStr">
        <is>
          <t>Exempt</t>
        </is>
      </c>
      <c r="E22" s="5" t="n">
        <v>85</v>
      </c>
      <c r="F22" s="4" t="n">
        <v>19120</v>
      </c>
      <c r="G22" s="5">
        <f>E22*F22</f>
        <v/>
      </c>
      <c r="H22" s="5">
        <f>G22*0.35</f>
        <v/>
      </c>
      <c r="I22" s="5">
        <f>(G22+H22)*0.05</f>
        <v/>
      </c>
      <c r="J22" s="5">
        <f>(G22+H22+I22)*0.03</f>
        <v/>
      </c>
      <c r="K22" s="5">
        <f>G22+H22+I22+J22</f>
        <v/>
      </c>
      <c r="L22" s="5">
        <f>K22*0.08</f>
        <v/>
      </c>
      <c r="M22" s="5">
        <f>K22+L22</f>
        <v/>
      </c>
      <c r="N22" s="4" t="n">
        <v>3824</v>
      </c>
      <c r="O22" s="5">
        <f>(E22*N22)*1.35*1.05*1.03*1.08</f>
        <v/>
      </c>
      <c r="P22" s="4" t="n">
        <v>3824</v>
      </c>
      <c r="Q22" s="5">
        <f>(E22*P22)*1.35*1.05*1.03*1.08</f>
        <v/>
      </c>
      <c r="R22" s="4" t="n">
        <v>3824</v>
      </c>
      <c r="S22" s="5">
        <f>(E22*R22)*1.35*1.05*1.03*1.08</f>
        <v/>
      </c>
      <c r="T22" s="4" t="n">
        <v>3824</v>
      </c>
      <c r="U22" s="5">
        <f>(E22*T22)*1.35*1.05*1.03*1.08</f>
        <v/>
      </c>
      <c r="V22" s="4">
        <f>F22+N22+P22+R22+T22</f>
        <v/>
      </c>
      <c r="W22" s="5">
        <f>M22+O22+Q22+S22+U22</f>
        <v/>
      </c>
    </row>
    <row r="23">
      <c r="A23" t="inlineStr">
        <is>
          <t>CP</t>
        </is>
      </c>
      <c r="B23" t="inlineStr">
        <is>
          <t>Mission Coordinator, Senior</t>
        </is>
      </c>
      <c r="C23" t="inlineStr">
        <is>
          <t>Non-SCA</t>
        </is>
      </c>
      <c r="D23" t="inlineStr">
        <is>
          <t>Exempt</t>
        </is>
      </c>
      <c r="E23" s="5" t="n">
        <v>95</v>
      </c>
      <c r="F23" s="4" t="n">
        <v>9560</v>
      </c>
      <c r="G23" s="5">
        <f>E23*F23</f>
        <v/>
      </c>
      <c r="H23" s="5">
        <f>G23*0.35</f>
        <v/>
      </c>
      <c r="I23" s="5">
        <f>(G23+H23)*0.05</f>
        <v/>
      </c>
      <c r="J23" s="5">
        <f>(G23+H23+I23)*0.03</f>
        <v/>
      </c>
      <c r="K23" s="5">
        <f>G23+H23+I23+J23</f>
        <v/>
      </c>
      <c r="L23" s="5">
        <f>K23*0.08</f>
        <v/>
      </c>
      <c r="M23" s="5">
        <f>K23+L23</f>
        <v/>
      </c>
      <c r="N23" s="4" t="n">
        <v>1912</v>
      </c>
      <c r="O23" s="5">
        <f>(E23*N23)*1.35*1.05*1.03*1.08</f>
        <v/>
      </c>
      <c r="P23" s="4" t="n">
        <v>1912</v>
      </c>
      <c r="Q23" s="5">
        <f>(E23*P23)*1.35*1.05*1.03*1.08</f>
        <v/>
      </c>
      <c r="R23" s="4" t="n">
        <v>1912</v>
      </c>
      <c r="S23" s="5">
        <f>(E23*R23)*1.35*1.05*1.03*1.08</f>
        <v/>
      </c>
      <c r="T23" s="4" t="n">
        <v>1912</v>
      </c>
      <c r="U23" s="5">
        <f>(E23*T23)*1.35*1.05*1.03*1.08</f>
        <v/>
      </c>
      <c r="V23" s="4">
        <f>F23+N23+P23+R23+T23</f>
        <v/>
      </c>
      <c r="W23" s="5">
        <f>M23+O23+Q23+S23+U23</f>
        <v/>
      </c>
    </row>
    <row r="24">
      <c r="A24" t="inlineStr">
        <is>
          <t>CP</t>
        </is>
      </c>
      <c r="B24" t="inlineStr">
        <is>
          <t>Computer Operator IV</t>
        </is>
      </c>
      <c r="C24" t="inlineStr">
        <is>
          <t>SCA</t>
        </is>
      </c>
      <c r="D24" t="inlineStr">
        <is>
          <t>SCLS</t>
        </is>
      </c>
      <c r="E24" s="5" t="n">
        <v>33.6</v>
      </c>
      <c r="F24" s="4" t="n">
        <v>9560</v>
      </c>
      <c r="G24" s="5">
        <f>E24*F24</f>
        <v/>
      </c>
      <c r="H24" s="5">
        <f>G24*0.35</f>
        <v/>
      </c>
      <c r="I24" s="5">
        <f>(G24+H24)*0.05</f>
        <v/>
      </c>
      <c r="J24" s="5">
        <f>(G24+H24+I24)*0.03</f>
        <v/>
      </c>
      <c r="K24" s="5">
        <f>G24+H24+I24+J24</f>
        <v/>
      </c>
      <c r="L24" s="5">
        <f>K24*0.08</f>
        <v/>
      </c>
      <c r="M24" s="5">
        <f>K24+L24</f>
        <v/>
      </c>
      <c r="N24" s="4" t="n">
        <v>1912</v>
      </c>
      <c r="O24" s="5">
        <f>(E24*N24)*1.35*1.05*1.03*1.08</f>
        <v/>
      </c>
      <c r="P24" s="4" t="n">
        <v>1912</v>
      </c>
      <c r="Q24" s="5">
        <f>(E24*P24)*1.35*1.05*1.03*1.08</f>
        <v/>
      </c>
      <c r="R24" s="4" t="n">
        <v>1912</v>
      </c>
      <c r="S24" s="5">
        <f>(E24*R24)*1.35*1.05*1.03*1.08</f>
        <v/>
      </c>
      <c r="T24" s="4" t="n">
        <v>1912</v>
      </c>
      <c r="U24" s="5">
        <f>(E24*T24)*1.35*1.05*1.03*1.08</f>
        <v/>
      </c>
      <c r="V24" s="4">
        <f>F24+N24+P24+R24+T24</f>
        <v/>
      </c>
      <c r="W24" s="5">
        <f>M24+O24+Q24+S24+U24</f>
        <v/>
      </c>
    </row>
    <row r="25">
      <c r="A25" t="inlineStr">
        <is>
          <t>CP</t>
        </is>
      </c>
      <c r="B25" t="inlineStr">
        <is>
          <t>Computer Operator V</t>
        </is>
      </c>
      <c r="C25" t="inlineStr">
        <is>
          <t>SCA</t>
        </is>
      </c>
      <c r="D25" t="inlineStr">
        <is>
          <t>CBA</t>
        </is>
      </c>
      <c r="E25" s="5" t="n">
        <v>37.21</v>
      </c>
      <c r="F25" s="4" t="n">
        <v>19120</v>
      </c>
      <c r="G25" s="5">
        <f>E25*F25</f>
        <v/>
      </c>
      <c r="H25" s="5">
        <f>G25*0.35</f>
        <v/>
      </c>
      <c r="I25" s="5">
        <f>(G25+H25)*0.05</f>
        <v/>
      </c>
      <c r="J25" s="5">
        <f>(G25+H25+I25)*0.03</f>
        <v/>
      </c>
      <c r="K25" s="5">
        <f>G25+H25+I25+J25</f>
        <v/>
      </c>
      <c r="L25" s="5">
        <f>K25*0.08</f>
        <v/>
      </c>
      <c r="M25" s="5">
        <f>K25+L25</f>
        <v/>
      </c>
      <c r="N25" s="4" t="n">
        <v>3824</v>
      </c>
      <c r="O25" s="5">
        <f>(E25*N25)*1.35*1.05*1.03*1.08</f>
        <v/>
      </c>
      <c r="P25" s="4" t="n">
        <v>3824</v>
      </c>
      <c r="Q25" s="5">
        <f>(E25*P25)*1.35*1.05*1.03*1.08</f>
        <v/>
      </c>
      <c r="R25" s="4" t="n">
        <v>3824</v>
      </c>
      <c r="S25" s="5">
        <f>(E25*R25)*1.35*1.05*1.03*1.08</f>
        <v/>
      </c>
      <c r="T25" s="4" t="n">
        <v>3824</v>
      </c>
      <c r="U25" s="5">
        <f>(E25*T25)*1.35*1.05*1.03*1.08</f>
        <v/>
      </c>
      <c r="V25" s="4">
        <f>F25+N25+P25+R25+T25</f>
        <v/>
      </c>
      <c r="W25" s="5">
        <f>M25+O25+Q25+S25+U25</f>
        <v/>
      </c>
    </row>
    <row r="26">
      <c r="A26" t="inlineStr">
        <is>
          <t>CP</t>
        </is>
      </c>
      <c r="B26" t="inlineStr">
        <is>
          <t>Tactical Data Link Analyst</t>
        </is>
      </c>
      <c r="C26" t="inlineStr">
        <is>
          <t>Non-SCA</t>
        </is>
      </c>
      <c r="D26" t="inlineStr">
        <is>
          <t>Exempt</t>
        </is>
      </c>
      <c r="E26" s="5" t="n">
        <v>75</v>
      </c>
      <c r="F26" s="4" t="n">
        <v>9560</v>
      </c>
      <c r="G26" s="5">
        <f>E26*F26</f>
        <v/>
      </c>
      <c r="H26" s="5">
        <f>G26*0.35</f>
        <v/>
      </c>
      <c r="I26" s="5">
        <f>(G26+H26)*0.05</f>
        <v/>
      </c>
      <c r="J26" s="5">
        <f>(G26+H26+I26)*0.03</f>
        <v/>
      </c>
      <c r="K26" s="5">
        <f>G26+H26+I26+J26</f>
        <v/>
      </c>
      <c r="L26" s="5">
        <f>K26*0.08</f>
        <v/>
      </c>
      <c r="M26" s="5">
        <f>K26+L26</f>
        <v/>
      </c>
      <c r="N26" s="4" t="n">
        <v>1912</v>
      </c>
      <c r="O26" s="5">
        <f>(E26*N26)*1.35*1.05*1.03*1.08</f>
        <v/>
      </c>
      <c r="P26" s="4" t="n">
        <v>1912</v>
      </c>
      <c r="Q26" s="5">
        <f>(E26*P26)*1.35*1.05*1.03*1.08</f>
        <v/>
      </c>
      <c r="R26" s="4" t="n">
        <v>1912</v>
      </c>
      <c r="S26" s="5">
        <f>(E26*R26)*1.35*1.05*1.03*1.08</f>
        <v/>
      </c>
      <c r="T26" s="4" t="n">
        <v>1912</v>
      </c>
      <c r="U26" s="5">
        <f>(E26*T26)*1.35*1.05*1.03*1.08</f>
        <v/>
      </c>
      <c r="V26" s="4">
        <f>F26+N26+P26+R26+T26</f>
        <v/>
      </c>
      <c r="W26" s="5">
        <f>M26+O26+Q26+S26+U26</f>
        <v/>
      </c>
    </row>
    <row r="27">
      <c r="A27" t="inlineStr">
        <is>
          <t>CP</t>
        </is>
      </c>
      <c r="B27" t="inlineStr">
        <is>
          <t>Engineering Technician IV</t>
        </is>
      </c>
      <c r="C27" t="inlineStr">
        <is>
          <t>SCA</t>
        </is>
      </c>
      <c r="D27" t="inlineStr">
        <is>
          <t>CBA</t>
        </is>
      </c>
      <c r="E27" s="5" t="n">
        <v>32.53</v>
      </c>
      <c r="F27" s="4" t="n">
        <v>9560</v>
      </c>
      <c r="G27" s="5">
        <f>E27*F27</f>
        <v/>
      </c>
      <c r="H27" s="5">
        <f>G27*0.35</f>
        <v/>
      </c>
      <c r="I27" s="5">
        <f>(G27+H27)*0.05</f>
        <v/>
      </c>
      <c r="J27" s="5">
        <f>(G27+H27+I27)*0.03</f>
        <v/>
      </c>
      <c r="K27" s="5">
        <f>G27+H27+I27+J27</f>
        <v/>
      </c>
      <c r="L27" s="5">
        <f>K27*0.08</f>
        <v/>
      </c>
      <c r="M27" s="5">
        <f>K27+L27</f>
        <v/>
      </c>
      <c r="N27" s="4" t="n">
        <v>1912</v>
      </c>
      <c r="O27" s="5">
        <f>(E27*N27)*1.35*1.05*1.03*1.08</f>
        <v/>
      </c>
      <c r="P27" s="4" t="n">
        <v>1912</v>
      </c>
      <c r="Q27" s="5">
        <f>(E27*P27)*1.35*1.05*1.03*1.08</f>
        <v/>
      </c>
      <c r="R27" s="4" t="n">
        <v>1912</v>
      </c>
      <c r="S27" s="5">
        <f>(E27*R27)*1.35*1.05*1.03*1.08</f>
        <v/>
      </c>
      <c r="T27" s="4" t="n">
        <v>1912</v>
      </c>
      <c r="U27" s="5">
        <f>(E27*T27)*1.35*1.05*1.03*1.08</f>
        <v/>
      </c>
      <c r="V27" s="4">
        <f>F27+N27+P27+R27+T27</f>
        <v/>
      </c>
      <c r="W27" s="5">
        <f>M27+O27+Q27+S27+U27</f>
        <v/>
      </c>
    </row>
    <row r="28">
      <c r="A28" t="inlineStr">
        <is>
          <t>CP</t>
        </is>
      </c>
      <c r="B28" t="inlineStr">
        <is>
          <t>Electronics Technician II</t>
        </is>
      </c>
      <c r="C28" t="inlineStr">
        <is>
          <t>SCA</t>
        </is>
      </c>
      <c r="D28" t="inlineStr">
        <is>
          <t>SCLS</t>
        </is>
      </c>
      <c r="E28" s="5" t="n">
        <v>36.22</v>
      </c>
      <c r="F28" s="4" t="n">
        <v>133840</v>
      </c>
      <c r="G28" s="5">
        <f>E28*F28</f>
        <v/>
      </c>
      <c r="H28" s="5">
        <f>G28*0.35</f>
        <v/>
      </c>
      <c r="I28" s="5">
        <f>(G28+H28)*0.05</f>
        <v/>
      </c>
      <c r="J28" s="5">
        <f>(G28+H28+I28)*0.03</f>
        <v/>
      </c>
      <c r="K28" s="5">
        <f>G28+H28+I28+J28</f>
        <v/>
      </c>
      <c r="L28" s="5">
        <f>K28*0.08</f>
        <v/>
      </c>
      <c r="M28" s="5">
        <f>K28+L28</f>
        <v/>
      </c>
      <c r="N28" s="4" t="n">
        <v>26768</v>
      </c>
      <c r="O28" s="5">
        <f>(E28*N28)*1.35*1.05*1.03*1.08</f>
        <v/>
      </c>
      <c r="P28" s="4" t="n">
        <v>26768</v>
      </c>
      <c r="Q28" s="5">
        <f>(E28*P28)*1.35*1.05*1.03*1.08</f>
        <v/>
      </c>
      <c r="R28" s="4" t="n">
        <v>26768</v>
      </c>
      <c r="S28" s="5">
        <f>(E28*R28)*1.35*1.05*1.03*1.08</f>
        <v/>
      </c>
      <c r="T28" s="4" t="n">
        <v>26768</v>
      </c>
      <c r="U28" s="5">
        <f>(E28*T28)*1.35*1.05*1.03*1.08</f>
        <v/>
      </c>
      <c r="V28" s="4">
        <f>F28+N28+P28+R28+T28</f>
        <v/>
      </c>
      <c r="W28" s="5">
        <f>M28+O28+Q28+S28+U28</f>
        <v/>
      </c>
    </row>
    <row r="29">
      <c r="A29" t="inlineStr">
        <is>
          <t>CP</t>
        </is>
      </c>
      <c r="B29" t="inlineStr">
        <is>
          <t>Electronics Technician III</t>
        </is>
      </c>
      <c r="C29" t="inlineStr">
        <is>
          <t>SCA</t>
        </is>
      </c>
      <c r="D29" t="inlineStr">
        <is>
          <t>SCLS</t>
        </is>
      </c>
      <c r="E29" s="5" t="n">
        <v>38.28</v>
      </c>
      <c r="F29" s="4" t="n">
        <v>181640</v>
      </c>
      <c r="G29" s="5">
        <f>E29*F29</f>
        <v/>
      </c>
      <c r="H29" s="5">
        <f>G29*0.35</f>
        <v/>
      </c>
      <c r="I29" s="5">
        <f>(G29+H29)*0.05</f>
        <v/>
      </c>
      <c r="J29" s="5">
        <f>(G29+H29+I29)*0.03</f>
        <v/>
      </c>
      <c r="K29" s="5">
        <f>G29+H29+I29+J29</f>
        <v/>
      </c>
      <c r="L29" s="5">
        <f>K29*0.08</f>
        <v/>
      </c>
      <c r="M29" s="5">
        <f>K29+L29</f>
        <v/>
      </c>
      <c r="N29" s="4" t="n">
        <v>36328</v>
      </c>
      <c r="O29" s="5">
        <f>(E29*N29)*1.35*1.05*1.03*1.08</f>
        <v/>
      </c>
      <c r="P29" s="4" t="n">
        <v>36328</v>
      </c>
      <c r="Q29" s="5">
        <f>(E29*P29)*1.35*1.05*1.03*1.08</f>
        <v/>
      </c>
      <c r="R29" s="4" t="n">
        <v>36328</v>
      </c>
      <c r="S29" s="5">
        <f>(E29*R29)*1.35*1.05*1.03*1.08</f>
        <v/>
      </c>
      <c r="T29" s="4" t="n">
        <v>36328</v>
      </c>
      <c r="U29" s="5">
        <f>(E29*T29)*1.35*1.05*1.03*1.08</f>
        <v/>
      </c>
      <c r="V29" s="4">
        <f>F29+N29+P29+R29+T29</f>
        <v/>
      </c>
      <c r="W29" s="5">
        <f>M29+O29+Q29+S29+U29</f>
        <v/>
      </c>
    </row>
    <row r="30">
      <c r="A30" t="inlineStr">
        <is>
          <t>CP</t>
        </is>
      </c>
      <c r="B30" t="inlineStr">
        <is>
          <t>Engineering Technician V</t>
        </is>
      </c>
      <c r="C30" t="inlineStr">
        <is>
          <t>SCA</t>
        </is>
      </c>
      <c r="D30" t="inlineStr">
        <is>
          <t>SCLS</t>
        </is>
      </c>
      <c r="E30" s="5" t="n">
        <v>39.78</v>
      </c>
      <c r="F30" s="4" t="n">
        <v>47800</v>
      </c>
      <c r="G30" s="5">
        <f>E30*F30</f>
        <v/>
      </c>
      <c r="H30" s="5">
        <f>G30*0.35</f>
        <v/>
      </c>
      <c r="I30" s="5">
        <f>(G30+H30)*0.05</f>
        <v/>
      </c>
      <c r="J30" s="5">
        <f>(G30+H30+I30)*0.03</f>
        <v/>
      </c>
      <c r="K30" s="5">
        <f>G30+H30+I30+J30</f>
        <v/>
      </c>
      <c r="L30" s="5">
        <f>K30*0.08</f>
        <v/>
      </c>
      <c r="M30" s="5">
        <f>K30+L30</f>
        <v/>
      </c>
      <c r="N30" s="4" t="n">
        <v>9560</v>
      </c>
      <c r="O30" s="5">
        <f>(E30*N30)*1.35*1.05*1.03*1.08</f>
        <v/>
      </c>
      <c r="P30" s="4" t="n">
        <v>9560</v>
      </c>
      <c r="Q30" s="5">
        <f>(E30*P30)*1.35*1.05*1.03*1.08</f>
        <v/>
      </c>
      <c r="R30" s="4" t="n">
        <v>9560</v>
      </c>
      <c r="S30" s="5">
        <f>(E30*R30)*1.35*1.05*1.03*1.08</f>
        <v/>
      </c>
      <c r="T30" s="4" t="n">
        <v>9560</v>
      </c>
      <c r="U30" s="5">
        <f>(E30*T30)*1.35*1.05*1.03*1.08</f>
        <v/>
      </c>
      <c r="V30" s="4">
        <f>F30+N30+P30+R30+T30</f>
        <v/>
      </c>
      <c r="W30" s="5">
        <f>M30+O30+Q30+S30+U30</f>
        <v/>
      </c>
    </row>
    <row r="31">
      <c r="A31" t="inlineStr">
        <is>
          <t>CP</t>
        </is>
      </c>
      <c r="B31" t="inlineStr">
        <is>
          <t>Engineering Technician VI</t>
        </is>
      </c>
      <c r="C31" t="inlineStr">
        <is>
          <t>SCA</t>
        </is>
      </c>
      <c r="D31" t="inlineStr">
        <is>
          <t>SCLS</t>
        </is>
      </c>
      <c r="E31" s="5" t="n">
        <v>48.13</v>
      </c>
      <c r="F31" s="4" t="n">
        <v>28680</v>
      </c>
      <c r="G31" s="5">
        <f>E31*F31</f>
        <v/>
      </c>
      <c r="H31" s="5">
        <f>G31*0.35</f>
        <v/>
      </c>
      <c r="I31" s="5">
        <f>(G31+H31)*0.05</f>
        <v/>
      </c>
      <c r="J31" s="5">
        <f>(G31+H31+I31)*0.03</f>
        <v/>
      </c>
      <c r="K31" s="5">
        <f>G31+H31+I31+J31</f>
        <v/>
      </c>
      <c r="L31" s="5">
        <f>K31*0.08</f>
        <v/>
      </c>
      <c r="M31" s="5">
        <f>K31+L31</f>
        <v/>
      </c>
      <c r="N31" s="4" t="n">
        <v>5736</v>
      </c>
      <c r="O31" s="5">
        <f>(E31*N31)*1.35*1.05*1.03*1.08</f>
        <v/>
      </c>
      <c r="P31" s="4" t="n">
        <v>5736</v>
      </c>
      <c r="Q31" s="5">
        <f>(E31*P31)*1.35*1.05*1.03*1.08</f>
        <v/>
      </c>
      <c r="R31" s="4" t="n">
        <v>5736</v>
      </c>
      <c r="S31" s="5">
        <f>(E31*R31)*1.35*1.05*1.03*1.08</f>
        <v/>
      </c>
      <c r="T31" s="4" t="n">
        <v>5736</v>
      </c>
      <c r="U31" s="5">
        <f>(E31*T31)*1.35*1.05*1.03*1.08</f>
        <v/>
      </c>
      <c r="V31" s="4">
        <f>F31+N31+P31+R31+T31</f>
        <v/>
      </c>
      <c r="W31" s="5">
        <f>M31+O31+Q31+S31+U31</f>
        <v/>
      </c>
    </row>
    <row r="32">
      <c r="A32" t="inlineStr">
        <is>
          <t>CP</t>
        </is>
      </c>
      <c r="B32" t="inlineStr">
        <is>
          <t>Electrician</t>
        </is>
      </c>
      <c r="C32" t="inlineStr">
        <is>
          <t>Non-SCA</t>
        </is>
      </c>
      <c r="D32" t="inlineStr">
        <is>
          <t>Exempt</t>
        </is>
      </c>
      <c r="E32" s="5" t="n">
        <v>65</v>
      </c>
      <c r="F32" s="4" t="n">
        <v>9560</v>
      </c>
      <c r="G32" s="5">
        <f>E32*F32</f>
        <v/>
      </c>
      <c r="H32" s="5">
        <f>G32*0.35</f>
        <v/>
      </c>
      <c r="I32" s="5">
        <f>(G32+H32)*0.05</f>
        <v/>
      </c>
      <c r="J32" s="5">
        <f>(G32+H32+I32)*0.03</f>
        <v/>
      </c>
      <c r="K32" s="5">
        <f>G32+H32+I32+J32</f>
        <v/>
      </c>
      <c r="L32" s="5">
        <f>K32*0.08</f>
        <v/>
      </c>
      <c r="M32" s="5">
        <f>K32+L32</f>
        <v/>
      </c>
      <c r="N32" s="4" t="n">
        <v>1912</v>
      </c>
      <c r="O32" s="5">
        <f>(E32*N32)*1.35*1.05*1.03*1.08</f>
        <v/>
      </c>
      <c r="P32" s="4" t="n">
        <v>1912</v>
      </c>
      <c r="Q32" s="5">
        <f>(E32*P32)*1.35*1.05*1.03*1.08</f>
        <v/>
      </c>
      <c r="R32" s="4" t="n">
        <v>1912</v>
      </c>
      <c r="S32" s="5">
        <f>(E32*R32)*1.35*1.05*1.03*1.08</f>
        <v/>
      </c>
      <c r="T32" s="4" t="n">
        <v>1912</v>
      </c>
      <c r="U32" s="5">
        <f>(E32*T32)*1.35*1.05*1.03*1.08</f>
        <v/>
      </c>
      <c r="V32" s="4">
        <f>F32+N32+P32+R32+T32</f>
        <v/>
      </c>
      <c r="W32" s="5">
        <f>M32+O32+Q32+S32+U32</f>
        <v/>
      </c>
    </row>
    <row r="33">
      <c r="A33" t="inlineStr">
        <is>
          <t>CP</t>
        </is>
      </c>
      <c r="B33" t="inlineStr">
        <is>
          <t>General Maintenance Worker</t>
        </is>
      </c>
      <c r="C33" t="inlineStr">
        <is>
          <t>SCA</t>
        </is>
      </c>
      <c r="D33" t="inlineStr">
        <is>
          <t>SCLS</t>
        </is>
      </c>
      <c r="E33" s="5" t="n">
        <v>24.83</v>
      </c>
      <c r="F33" s="4" t="n">
        <v>38240</v>
      </c>
      <c r="G33" s="5">
        <f>E33*F33</f>
        <v/>
      </c>
      <c r="H33" s="5">
        <f>G33*0.35</f>
        <v/>
      </c>
      <c r="I33" s="5">
        <f>(G33+H33)*0.05</f>
        <v/>
      </c>
      <c r="J33" s="5">
        <f>(G33+H33+I33)*0.03</f>
        <v/>
      </c>
      <c r="K33" s="5">
        <f>G33+H33+I33+J33</f>
        <v/>
      </c>
      <c r="L33" s="5">
        <f>K33*0.08</f>
        <v/>
      </c>
      <c r="M33" s="5">
        <f>K33+L33</f>
        <v/>
      </c>
      <c r="N33" s="4" t="n">
        <v>7648</v>
      </c>
      <c r="O33" s="5">
        <f>(E33*N33)*1.35*1.05*1.03*1.08</f>
        <v/>
      </c>
      <c r="P33" s="4" t="n">
        <v>7648</v>
      </c>
      <c r="Q33" s="5">
        <f>(E33*P33)*1.35*1.05*1.03*1.08</f>
        <v/>
      </c>
      <c r="R33" s="4" t="n">
        <v>7648</v>
      </c>
      <c r="S33" s="5">
        <f>(E33*R33)*1.35*1.05*1.03*1.08</f>
        <v/>
      </c>
      <c r="T33" s="4" t="n">
        <v>7648</v>
      </c>
      <c r="U33" s="5">
        <f>(E33*T33)*1.35*1.05*1.03*1.08</f>
        <v/>
      </c>
      <c r="V33" s="4">
        <f>F33+N33+P33+R33+T33</f>
        <v/>
      </c>
      <c r="W33" s="5">
        <f>M33+O33+Q33+S33+U33</f>
        <v/>
      </c>
    </row>
    <row r="34">
      <c r="A34" t="inlineStr">
        <is>
          <t>CP</t>
        </is>
      </c>
      <c r="B34" t="inlineStr">
        <is>
          <t>Heating, Ventilation and Air Conditioning</t>
        </is>
      </c>
      <c r="C34" t="inlineStr">
        <is>
          <t>SCA</t>
        </is>
      </c>
      <c r="D34" t="inlineStr">
        <is>
          <t>SCLS</t>
        </is>
      </c>
      <c r="E34" s="5" t="n">
        <v>32.86</v>
      </c>
      <c r="F34" s="4" t="n">
        <v>9560</v>
      </c>
      <c r="G34" s="5">
        <f>E34*F34</f>
        <v/>
      </c>
      <c r="H34" s="5">
        <f>G34*0.35</f>
        <v/>
      </c>
      <c r="I34" s="5">
        <f>(G34+H34)*0.05</f>
        <v/>
      </c>
      <c r="J34" s="5">
        <f>(G34+H34+I34)*0.03</f>
        <v/>
      </c>
      <c r="K34" s="5">
        <f>G34+H34+I34+J34</f>
        <v/>
      </c>
      <c r="L34" s="5">
        <f>K34*0.08</f>
        <v/>
      </c>
      <c r="M34" s="5">
        <f>K34+L34</f>
        <v/>
      </c>
      <c r="N34" s="4" t="n">
        <v>1912</v>
      </c>
      <c r="O34" s="5">
        <f>(E34*N34)*1.35*1.05*1.03*1.08</f>
        <v/>
      </c>
      <c r="P34" s="4" t="n">
        <v>1912</v>
      </c>
      <c r="Q34" s="5">
        <f>(E34*P34)*1.35*1.05*1.03*1.08</f>
        <v/>
      </c>
      <c r="R34" s="4" t="n">
        <v>1912</v>
      </c>
      <c r="S34" s="5">
        <f>(E34*R34)*1.35*1.05*1.03*1.08</f>
        <v/>
      </c>
      <c r="T34" s="4" t="n">
        <v>1912</v>
      </c>
      <c r="U34" s="5">
        <f>(E34*T34)*1.35*1.05*1.03*1.08</f>
        <v/>
      </c>
      <c r="V34" s="4">
        <f>F34+N34+P34+R34+T34</f>
        <v/>
      </c>
      <c r="W34" s="5">
        <f>M34+O34+Q34+S34+U34</f>
        <v/>
      </c>
    </row>
    <row r="35">
      <c r="A35" t="inlineStr">
        <is>
          <t>CP</t>
        </is>
      </c>
      <c r="B35" t="inlineStr">
        <is>
          <t>Heavy Equipment Mechanic/Operator</t>
        </is>
      </c>
      <c r="C35" t="inlineStr">
        <is>
          <t>SCA</t>
        </is>
      </c>
      <c r="D35" t="inlineStr">
        <is>
          <t>CBA</t>
        </is>
      </c>
      <c r="E35" s="5" t="n">
        <v>35.52</v>
      </c>
      <c r="F35" s="4" t="n">
        <v>28680</v>
      </c>
      <c r="G35" s="5">
        <f>E35*F35</f>
        <v/>
      </c>
      <c r="H35" s="5">
        <f>G35*0.35</f>
        <v/>
      </c>
      <c r="I35" s="5">
        <f>(G35+H35)*0.05</f>
        <v/>
      </c>
      <c r="J35" s="5">
        <f>(G35+H35+I35)*0.03</f>
        <v/>
      </c>
      <c r="K35" s="5">
        <f>G35+H35+I35+J35</f>
        <v/>
      </c>
      <c r="L35" s="5">
        <f>K35*0.08</f>
        <v/>
      </c>
      <c r="M35" s="5">
        <f>K35+L35</f>
        <v/>
      </c>
      <c r="N35" s="4" t="n">
        <v>5736</v>
      </c>
      <c r="O35" s="5">
        <f>(E35*N35)*1.35*1.05*1.03*1.08</f>
        <v/>
      </c>
      <c r="P35" s="4" t="n">
        <v>5736</v>
      </c>
      <c r="Q35" s="5">
        <f>(E35*P35)*1.35*1.05*1.03*1.08</f>
        <v/>
      </c>
      <c r="R35" s="4" t="n">
        <v>5736</v>
      </c>
      <c r="S35" s="5">
        <f>(E35*R35)*1.35*1.05*1.03*1.08</f>
        <v/>
      </c>
      <c r="T35" s="4" t="n">
        <v>5736</v>
      </c>
      <c r="U35" s="5">
        <f>(E35*T35)*1.35*1.05*1.03*1.08</f>
        <v/>
      </c>
      <c r="V35" s="4">
        <f>F35+N35+P35+R35+T35</f>
        <v/>
      </c>
      <c r="W35" s="5">
        <f>M35+O35+Q35+S35+U35</f>
        <v/>
      </c>
    </row>
    <row r="36">
      <c r="A36" t="inlineStr">
        <is>
          <t>CP</t>
        </is>
      </c>
      <c r="B36" t="inlineStr">
        <is>
          <t>Maintenance Coordinator</t>
        </is>
      </c>
      <c r="C36" t="inlineStr">
        <is>
          <t>Non-SCA</t>
        </is>
      </c>
      <c r="D36" t="inlineStr">
        <is>
          <t>Exempt</t>
        </is>
      </c>
      <c r="E36" s="5" t="n">
        <v>80</v>
      </c>
      <c r="F36" s="4" t="n">
        <v>19120</v>
      </c>
      <c r="G36" s="5">
        <f>E36*F36</f>
        <v/>
      </c>
      <c r="H36" s="5">
        <f>G36*0.35</f>
        <v/>
      </c>
      <c r="I36" s="5">
        <f>(G36+H36)*0.05</f>
        <v/>
      </c>
      <c r="J36" s="5">
        <f>(G36+H36+I36)*0.03</f>
        <v/>
      </c>
      <c r="K36" s="5">
        <f>G36+H36+I36+J36</f>
        <v/>
      </c>
      <c r="L36" s="5">
        <f>K36*0.08</f>
        <v/>
      </c>
      <c r="M36" s="5">
        <f>K36+L36</f>
        <v/>
      </c>
      <c r="N36" s="4" t="n">
        <v>3824</v>
      </c>
      <c r="O36" s="5">
        <f>(E36*N36)*1.35*1.05*1.03*1.08</f>
        <v/>
      </c>
      <c r="P36" s="4" t="n">
        <v>3824</v>
      </c>
      <c r="Q36" s="5">
        <f>(E36*P36)*1.35*1.05*1.03*1.08</f>
        <v/>
      </c>
      <c r="R36" s="4" t="n">
        <v>3824</v>
      </c>
      <c r="S36" s="5">
        <f>(E36*R36)*1.35*1.05*1.03*1.08</f>
        <v/>
      </c>
      <c r="T36" s="4" t="n">
        <v>3824</v>
      </c>
      <c r="U36" s="5">
        <f>(E36*T36)*1.35*1.05*1.03*1.08</f>
        <v/>
      </c>
      <c r="V36" s="4">
        <f>F36+N36+P36+R36+T36</f>
        <v/>
      </c>
      <c r="W36" s="5">
        <f>M36+O36+Q36+S36+U36</f>
        <v/>
      </c>
    </row>
    <row r="37">
      <c r="A37" t="inlineStr">
        <is>
          <t>CP</t>
        </is>
      </c>
      <c r="B37" t="inlineStr">
        <is>
          <t>Logistician Analyst IV</t>
        </is>
      </c>
      <c r="C37" t="inlineStr">
        <is>
          <t>Non-SCA</t>
        </is>
      </c>
      <c r="D37" t="inlineStr">
        <is>
          <t>Exempt</t>
        </is>
      </c>
      <c r="E37" s="5" t="n">
        <v>75</v>
      </c>
      <c r="F37" s="4" t="n">
        <v>9560</v>
      </c>
      <c r="G37" s="5">
        <f>E37*F37</f>
        <v/>
      </c>
      <c r="H37" s="5">
        <f>G37*0.35</f>
        <v/>
      </c>
      <c r="I37" s="5">
        <f>(G37+H37)*0.05</f>
        <v/>
      </c>
      <c r="J37" s="5">
        <f>(G37+H37+I37)*0.03</f>
        <v/>
      </c>
      <c r="K37" s="5">
        <f>G37+H37+I37+J37</f>
        <v/>
      </c>
      <c r="L37" s="5">
        <f>K37*0.08</f>
        <v/>
      </c>
      <c r="M37" s="5">
        <f>K37+L37</f>
        <v/>
      </c>
      <c r="N37" s="4" t="n">
        <v>1912</v>
      </c>
      <c r="O37" s="5">
        <f>(E37*N37)*1.35*1.05*1.03*1.08</f>
        <v/>
      </c>
      <c r="P37" s="4" t="n">
        <v>1912</v>
      </c>
      <c r="Q37" s="5">
        <f>(E37*P37)*1.35*1.05*1.03*1.08</f>
        <v/>
      </c>
      <c r="R37" s="4" t="n">
        <v>1912</v>
      </c>
      <c r="S37" s="5">
        <f>(E37*R37)*1.35*1.05*1.03*1.08</f>
        <v/>
      </c>
      <c r="T37" s="4" t="n">
        <v>1912</v>
      </c>
      <c r="U37" s="5">
        <f>(E37*T37)*1.35*1.05*1.03*1.08</f>
        <v/>
      </c>
      <c r="V37" s="4">
        <f>F37+N37+P37+R37+T37</f>
        <v/>
      </c>
      <c r="W37" s="5">
        <f>M37+O37+Q37+S37+U37</f>
        <v/>
      </c>
    </row>
    <row r="38">
      <c r="A38" t="inlineStr">
        <is>
          <t>CP</t>
        </is>
      </c>
      <c r="B38" t="inlineStr">
        <is>
          <t>Supply Technician</t>
        </is>
      </c>
      <c r="C38" t="inlineStr">
        <is>
          <t>SCA</t>
        </is>
      </c>
      <c r="D38" t="inlineStr">
        <is>
          <t>CBA</t>
        </is>
      </c>
      <c r="E38" s="5" t="n">
        <v>39.73</v>
      </c>
      <c r="F38" s="4" t="n">
        <v>28680</v>
      </c>
      <c r="G38" s="5">
        <f>E38*F38</f>
        <v/>
      </c>
      <c r="H38" s="5">
        <f>G38*0.35</f>
        <v/>
      </c>
      <c r="I38" s="5">
        <f>(G38+H38)*0.05</f>
        <v/>
      </c>
      <c r="J38" s="5">
        <f>(G38+H38+I38)*0.03</f>
        <v/>
      </c>
      <c r="K38" s="5">
        <f>G38+H38+I38+J38</f>
        <v/>
      </c>
      <c r="L38" s="5">
        <f>K38*0.08</f>
        <v/>
      </c>
      <c r="M38" s="5">
        <f>K38+L38</f>
        <v/>
      </c>
      <c r="N38" s="4" t="n">
        <v>5736</v>
      </c>
      <c r="O38" s="5">
        <f>(E38*N38)*1.35*1.05*1.03*1.08</f>
        <v/>
      </c>
      <c r="P38" s="4" t="n">
        <v>5736</v>
      </c>
      <c r="Q38" s="5">
        <f>(E38*P38)*1.35*1.05*1.03*1.08</f>
        <v/>
      </c>
      <c r="R38" s="4" t="n">
        <v>5736</v>
      </c>
      <c r="S38" s="5">
        <f>(E38*R38)*1.35*1.05*1.03*1.08</f>
        <v/>
      </c>
      <c r="T38" s="4" t="n">
        <v>5736</v>
      </c>
      <c r="U38" s="5">
        <f>(E38*T38)*1.35*1.05*1.03*1.08</f>
        <v/>
      </c>
      <c r="V38" s="4">
        <f>F38+N38+P38+R38+T38</f>
        <v/>
      </c>
      <c r="W38" s="5">
        <f>M38+O38+Q38+S38+U38</f>
        <v/>
      </c>
    </row>
    <row r="39">
      <c r="A39" t="inlineStr">
        <is>
          <t>CP</t>
        </is>
      </c>
      <c r="B39" t="inlineStr">
        <is>
          <t>Security Coordinator</t>
        </is>
      </c>
      <c r="C39" t="inlineStr">
        <is>
          <t>Non-SCA</t>
        </is>
      </c>
      <c r="D39" t="inlineStr">
        <is>
          <t>Exempt</t>
        </is>
      </c>
      <c r="E39" s="5" t="n">
        <v>70</v>
      </c>
      <c r="F39" s="4" t="n">
        <v>9560</v>
      </c>
      <c r="G39" s="5">
        <f>E39*F39</f>
        <v/>
      </c>
      <c r="H39" s="5">
        <f>G39*0.35</f>
        <v/>
      </c>
      <c r="I39" s="5">
        <f>(G39+H39)*0.05</f>
        <v/>
      </c>
      <c r="J39" s="5">
        <f>(G39+H39+I39)*0.03</f>
        <v/>
      </c>
      <c r="K39" s="5">
        <f>G39+H39+I39+J39</f>
        <v/>
      </c>
      <c r="L39" s="5">
        <f>K39*0.08</f>
        <v/>
      </c>
      <c r="M39" s="5">
        <f>K39+L39</f>
        <v/>
      </c>
      <c r="N39" s="4" t="n">
        <v>1912</v>
      </c>
      <c r="O39" s="5">
        <f>(E39*N39)*1.35*1.05*1.03*1.08</f>
        <v/>
      </c>
      <c r="P39" s="4" t="n">
        <v>1912</v>
      </c>
      <c r="Q39" s="5">
        <f>(E39*P39)*1.35*1.05*1.03*1.08</f>
        <v/>
      </c>
      <c r="R39" s="4" t="n">
        <v>1912</v>
      </c>
      <c r="S39" s="5">
        <f>(E39*R39)*1.35*1.05*1.03*1.08</f>
        <v/>
      </c>
      <c r="T39" s="4" t="n">
        <v>1912</v>
      </c>
      <c r="U39" s="5">
        <f>(E39*T39)*1.35*1.05*1.03*1.08</f>
        <v/>
      </c>
      <c r="V39" s="4">
        <f>F39+N39+P39+R39+T39</f>
        <v/>
      </c>
      <c r="W39" s="5">
        <f>M39+O39+Q39+S39+U39</f>
        <v/>
      </c>
    </row>
    <row r="40">
      <c r="A40" t="inlineStr">
        <is>
          <t>CP</t>
        </is>
      </c>
      <c r="B40" t="inlineStr">
        <is>
          <t>Quality Assurance/Safety Evaluator</t>
        </is>
      </c>
      <c r="C40" t="inlineStr">
        <is>
          <t>Non-SCA</t>
        </is>
      </c>
      <c r="D40" t="inlineStr">
        <is>
          <t>Exempt</t>
        </is>
      </c>
      <c r="E40" s="5" t="n">
        <v>75</v>
      </c>
      <c r="F40" s="4" t="n">
        <v>9560</v>
      </c>
      <c r="G40" s="5">
        <f>E40*F40</f>
        <v/>
      </c>
      <c r="H40" s="5">
        <f>G40*0.35</f>
        <v/>
      </c>
      <c r="I40" s="5">
        <f>(G40+H40)*0.05</f>
        <v/>
      </c>
      <c r="J40" s="5">
        <f>(G40+H40+I40)*0.03</f>
        <v/>
      </c>
      <c r="K40" s="5">
        <f>G40+H40+I40+J40</f>
        <v/>
      </c>
      <c r="L40" s="5">
        <f>K40*0.08</f>
        <v/>
      </c>
      <c r="M40" s="5">
        <f>K40+L40</f>
        <v/>
      </c>
      <c r="N40" s="4" t="n">
        <v>1912</v>
      </c>
      <c r="O40" s="5">
        <f>(E40*N40)*1.35*1.05*1.03*1.08</f>
        <v/>
      </c>
      <c r="P40" s="4" t="n">
        <v>1912</v>
      </c>
      <c r="Q40" s="5">
        <f>(E40*P40)*1.35*1.05*1.03*1.08</f>
        <v/>
      </c>
      <c r="R40" s="4" t="n">
        <v>1912</v>
      </c>
      <c r="S40" s="5">
        <f>(E40*R40)*1.35*1.05*1.03*1.08</f>
        <v/>
      </c>
      <c r="T40" s="4" t="n">
        <v>1912</v>
      </c>
      <c r="U40" s="5">
        <f>(E40*T40)*1.35*1.05*1.03*1.08</f>
        <v/>
      </c>
      <c r="V40" s="4">
        <f>F40+N40+P40+R40+T40</f>
        <v/>
      </c>
      <c r="W40" s="5">
        <f>M40+O40+Q40+S40+U40</f>
        <v/>
      </c>
    </row>
    <row r="41">
      <c r="A41" t="inlineStr">
        <is>
          <t>El Centro</t>
        </is>
      </c>
      <c r="B41" t="inlineStr">
        <is>
          <t>Electronics Technician II</t>
        </is>
      </c>
      <c r="C41" t="inlineStr">
        <is>
          <t>SCA</t>
        </is>
      </c>
      <c r="D41" t="inlineStr">
        <is>
          <t>CBA</t>
        </is>
      </c>
      <c r="E41" s="5" t="n">
        <v>34.45</v>
      </c>
      <c r="F41" s="4" t="n">
        <v>38240</v>
      </c>
      <c r="G41" s="5">
        <f>E41*F41</f>
        <v/>
      </c>
      <c r="H41" s="5">
        <f>G41*0.35</f>
        <v/>
      </c>
      <c r="I41" s="5">
        <f>(G41+H41)*0.05</f>
        <v/>
      </c>
      <c r="J41" s="5">
        <f>(G41+H41+I41)*0.03</f>
        <v/>
      </c>
      <c r="K41" s="5">
        <f>G41+H41+I41+J41</f>
        <v/>
      </c>
      <c r="L41" s="5">
        <f>K41*0.08</f>
        <v/>
      </c>
      <c r="M41" s="5">
        <f>K41+L41</f>
        <v/>
      </c>
      <c r="N41" s="4" t="n">
        <v>7648</v>
      </c>
      <c r="O41" s="5">
        <f>(E41*N41)*1.35*1.05*1.03*1.08</f>
        <v/>
      </c>
      <c r="P41" s="4" t="n">
        <v>7648</v>
      </c>
      <c r="Q41" s="5">
        <f>(E41*P41)*1.35*1.05*1.03*1.08</f>
        <v/>
      </c>
      <c r="R41" s="4" t="n">
        <v>7648</v>
      </c>
      <c r="S41" s="5">
        <f>(E41*R41)*1.35*1.05*1.03*1.08</f>
        <v/>
      </c>
      <c r="T41" s="4" t="n">
        <v>7648</v>
      </c>
      <c r="U41" s="5">
        <f>(E41*T41)*1.35*1.05*1.03*1.08</f>
        <v/>
      </c>
      <c r="V41" s="4">
        <f>F41+N41+P41+R41+T41</f>
        <v/>
      </c>
      <c r="W41" s="5">
        <f>M41+O41+Q41+S41+U41</f>
        <v/>
      </c>
    </row>
    <row r="42">
      <c r="A42" t="inlineStr">
        <is>
          <t>El Centro</t>
        </is>
      </c>
      <c r="B42" t="inlineStr">
        <is>
          <t>Electronics Technician III</t>
        </is>
      </c>
      <c r="C42" t="inlineStr">
        <is>
          <t>SCA</t>
        </is>
      </c>
      <c r="D42" t="inlineStr">
        <is>
          <t>CBA</t>
        </is>
      </c>
      <c r="E42" s="5" t="n">
        <v>36.58</v>
      </c>
      <c r="F42" s="4" t="n">
        <v>28680</v>
      </c>
      <c r="G42" s="5">
        <f>E42*F42</f>
        <v/>
      </c>
      <c r="H42" s="5">
        <f>G42*0.35</f>
        <v/>
      </c>
      <c r="I42" s="5">
        <f>(G42+H42)*0.05</f>
        <v/>
      </c>
      <c r="J42" s="5">
        <f>(G42+H42+I42)*0.03</f>
        <v/>
      </c>
      <c r="K42" s="5">
        <f>G42+H42+I42+J42</f>
        <v/>
      </c>
      <c r="L42" s="5">
        <f>K42*0.08</f>
        <v/>
      </c>
      <c r="M42" s="5">
        <f>K42+L42</f>
        <v/>
      </c>
      <c r="N42" s="4" t="n">
        <v>5736</v>
      </c>
      <c r="O42" s="5">
        <f>(E42*N42)*1.35*1.05*1.03*1.08</f>
        <v/>
      </c>
      <c r="P42" s="4" t="n">
        <v>5736</v>
      </c>
      <c r="Q42" s="5">
        <f>(E42*P42)*1.35*1.05*1.03*1.08</f>
        <v/>
      </c>
      <c r="R42" s="4" t="n">
        <v>5736</v>
      </c>
      <c r="S42" s="5">
        <f>(E42*R42)*1.35*1.05*1.03*1.08</f>
        <v/>
      </c>
      <c r="T42" s="4" t="n">
        <v>5736</v>
      </c>
      <c r="U42" s="5">
        <f>(E42*T42)*1.35*1.05*1.03*1.08</f>
        <v/>
      </c>
      <c r="V42" s="4">
        <f>F42+N42+P42+R42+T42</f>
        <v/>
      </c>
      <c r="W42" s="5">
        <f>M42+O42+Q42+S42+U42</f>
        <v/>
      </c>
    </row>
    <row r="43">
      <c r="A43" t="inlineStr">
        <is>
          <t>Fallon</t>
        </is>
      </c>
      <c r="B43" t="inlineStr">
        <is>
          <t>Site Manager</t>
        </is>
      </c>
      <c r="C43" t="inlineStr">
        <is>
          <t>Non-SCA</t>
        </is>
      </c>
      <c r="D43" t="inlineStr">
        <is>
          <t>Exempt</t>
        </is>
      </c>
      <c r="E43" s="5" t="n">
        <v>95</v>
      </c>
      <c r="F43" s="4" t="n">
        <v>9560</v>
      </c>
      <c r="G43" s="5">
        <f>E43*F43</f>
        <v/>
      </c>
      <c r="H43" s="5">
        <f>G43*0.35</f>
        <v/>
      </c>
      <c r="I43" s="5">
        <f>(G43+H43)*0.05</f>
        <v/>
      </c>
      <c r="J43" s="5">
        <f>(G43+H43+I43)*0.03</f>
        <v/>
      </c>
      <c r="K43" s="5">
        <f>G43+H43+I43+J43</f>
        <v/>
      </c>
      <c r="L43" s="5">
        <f>K43*0.08</f>
        <v/>
      </c>
      <c r="M43" s="5">
        <f>K43+L43</f>
        <v/>
      </c>
      <c r="N43" s="4" t="n">
        <v>1912</v>
      </c>
      <c r="O43" s="5">
        <f>(E43*N43)*1.35*1.05*1.03*1.08</f>
        <v/>
      </c>
      <c r="P43" s="4" t="n">
        <v>1912</v>
      </c>
      <c r="Q43" s="5">
        <f>(E43*P43)*1.35*1.05*1.03*1.08</f>
        <v/>
      </c>
      <c r="R43" s="4" t="n">
        <v>1912</v>
      </c>
      <c r="S43" s="5">
        <f>(E43*R43)*1.35*1.05*1.03*1.08</f>
        <v/>
      </c>
      <c r="T43" s="4" t="n">
        <v>1912</v>
      </c>
      <c r="U43" s="5">
        <f>(E43*T43)*1.35*1.05*1.03*1.08</f>
        <v/>
      </c>
      <c r="V43" s="4">
        <f>F43+N43+P43+R43+T43</f>
        <v/>
      </c>
      <c r="W43" s="5">
        <f>M43+O43+Q43+S43+U43</f>
        <v/>
      </c>
    </row>
    <row r="44">
      <c r="A44" t="inlineStr">
        <is>
          <t>Fallon</t>
        </is>
      </c>
      <c r="B44" t="inlineStr">
        <is>
          <t>Mission Coordinator</t>
        </is>
      </c>
      <c r="C44" t="inlineStr">
        <is>
          <t>Non-SCA</t>
        </is>
      </c>
      <c r="D44" t="inlineStr">
        <is>
          <t>CBA</t>
        </is>
      </c>
      <c r="E44" s="5" t="n">
        <v>85</v>
      </c>
      <c r="F44" s="4" t="n">
        <v>66920</v>
      </c>
      <c r="G44" s="5">
        <f>E44*F44</f>
        <v/>
      </c>
      <c r="H44" s="5">
        <f>G44*0.35</f>
        <v/>
      </c>
      <c r="I44" s="5">
        <f>(G44+H44)*0.05</f>
        <v/>
      </c>
      <c r="J44" s="5">
        <f>(G44+H44+I44)*0.03</f>
        <v/>
      </c>
      <c r="K44" s="5">
        <f>G44+H44+I44+J44</f>
        <v/>
      </c>
      <c r="L44" s="5">
        <f>K44*0.08</f>
        <v/>
      </c>
      <c r="M44" s="5">
        <f>K44+L44</f>
        <v/>
      </c>
      <c r="N44" s="4" t="n">
        <v>13384</v>
      </c>
      <c r="O44" s="5">
        <f>(E44*N44)*1.35*1.05*1.03*1.08</f>
        <v/>
      </c>
      <c r="P44" s="4" t="n">
        <v>13384</v>
      </c>
      <c r="Q44" s="5">
        <f>(E44*P44)*1.35*1.05*1.03*1.08</f>
        <v/>
      </c>
      <c r="R44" s="4" t="n">
        <v>13384</v>
      </c>
      <c r="S44" s="5">
        <f>(E44*R44)*1.35*1.05*1.03*1.08</f>
        <v/>
      </c>
      <c r="T44" s="4" t="n">
        <v>13384</v>
      </c>
      <c r="U44" s="5">
        <f>(E44*T44)*1.35*1.05*1.03*1.08</f>
        <v/>
      </c>
      <c r="V44" s="4">
        <f>F44+N44+P44+R44+T44</f>
        <v/>
      </c>
      <c r="W44" s="5">
        <f>M44+O44+Q44+S44+U44</f>
        <v/>
      </c>
    </row>
    <row r="45">
      <c r="A45" t="inlineStr">
        <is>
          <t>Fallon</t>
        </is>
      </c>
      <c r="B45" t="inlineStr">
        <is>
          <t>Mission Coordinator, Senior</t>
        </is>
      </c>
      <c r="C45" t="inlineStr">
        <is>
          <t>Non-SCA</t>
        </is>
      </c>
      <c r="D45" t="inlineStr">
        <is>
          <t>CBA</t>
        </is>
      </c>
      <c r="E45" s="5" t="n">
        <v>95</v>
      </c>
      <c r="F45" s="4" t="n">
        <v>9560</v>
      </c>
      <c r="G45" s="5">
        <f>E45*F45</f>
        <v/>
      </c>
      <c r="H45" s="5">
        <f>G45*0.35</f>
        <v/>
      </c>
      <c r="I45" s="5">
        <f>(G45+H45)*0.05</f>
        <v/>
      </c>
      <c r="J45" s="5">
        <f>(G45+H45+I45)*0.03</f>
        <v/>
      </c>
      <c r="K45" s="5">
        <f>G45+H45+I45+J45</f>
        <v/>
      </c>
      <c r="L45" s="5">
        <f>K45*0.08</f>
        <v/>
      </c>
      <c r="M45" s="5">
        <f>K45+L45</f>
        <v/>
      </c>
      <c r="N45" s="4" t="n">
        <v>1912</v>
      </c>
      <c r="O45" s="5">
        <f>(E45*N45)*1.35*1.05*1.03*1.08</f>
        <v/>
      </c>
      <c r="P45" s="4" t="n">
        <v>1912</v>
      </c>
      <c r="Q45" s="5">
        <f>(E45*P45)*1.35*1.05*1.03*1.08</f>
        <v/>
      </c>
      <c r="R45" s="4" t="n">
        <v>1912</v>
      </c>
      <c r="S45" s="5">
        <f>(E45*R45)*1.35*1.05*1.03*1.08</f>
        <v/>
      </c>
      <c r="T45" s="4" t="n">
        <v>1912</v>
      </c>
      <c r="U45" s="5">
        <f>(E45*T45)*1.35*1.05*1.03*1.08</f>
        <v/>
      </c>
      <c r="V45" s="4">
        <f>F45+N45+P45+R45+T45</f>
        <v/>
      </c>
      <c r="W45" s="5">
        <f>M45+O45+Q45+S45+U45</f>
        <v/>
      </c>
    </row>
    <row r="46">
      <c r="A46" t="inlineStr">
        <is>
          <t>Fallon</t>
        </is>
      </c>
      <c r="B46" t="inlineStr">
        <is>
          <t>Computer Operator III</t>
        </is>
      </c>
      <c r="C46" t="inlineStr">
        <is>
          <t>SCA</t>
        </is>
      </c>
      <c r="D46" t="inlineStr">
        <is>
          <t>SCLS</t>
        </is>
      </c>
      <c r="E46" s="5" t="n">
        <v>25.78</v>
      </c>
      <c r="F46" s="4" t="n">
        <v>57360</v>
      </c>
      <c r="G46" s="5">
        <f>E46*F46</f>
        <v/>
      </c>
      <c r="H46" s="5">
        <f>G46*0.35</f>
        <v/>
      </c>
      <c r="I46" s="5">
        <f>(G46+H46)*0.05</f>
        <v/>
      </c>
      <c r="J46" s="5">
        <f>(G46+H46+I46)*0.03</f>
        <v/>
      </c>
      <c r="K46" s="5">
        <f>G46+H46+I46+J46</f>
        <v/>
      </c>
      <c r="L46" s="5">
        <f>K46*0.08</f>
        <v/>
      </c>
      <c r="M46" s="5">
        <f>K46+L46</f>
        <v/>
      </c>
      <c r="N46" s="4" t="n">
        <v>11472</v>
      </c>
      <c r="O46" s="5">
        <f>(E46*N46)*1.35*1.05*1.03*1.08</f>
        <v/>
      </c>
      <c r="P46" s="4" t="n">
        <v>11472</v>
      </c>
      <c r="Q46" s="5">
        <f>(E46*P46)*1.35*1.05*1.03*1.08</f>
        <v/>
      </c>
      <c r="R46" s="4" t="n">
        <v>11472</v>
      </c>
      <c r="S46" s="5">
        <f>(E46*R46)*1.35*1.05*1.03*1.08</f>
        <v/>
      </c>
      <c r="T46" s="4" t="n">
        <v>11472</v>
      </c>
      <c r="U46" s="5">
        <f>(E46*T46)*1.35*1.05*1.03*1.08</f>
        <v/>
      </c>
      <c r="V46" s="4">
        <f>F46+N46+P46+R46+T46</f>
        <v/>
      </c>
      <c r="W46" s="5">
        <f>M46+O46+Q46+S46+U46</f>
        <v/>
      </c>
    </row>
    <row r="47">
      <c r="A47" t="inlineStr">
        <is>
          <t>Fallon</t>
        </is>
      </c>
      <c r="B47" t="inlineStr">
        <is>
          <t>Computer Operator IV</t>
        </is>
      </c>
      <c r="C47" t="inlineStr">
        <is>
          <t>SCA</t>
        </is>
      </c>
      <c r="D47" t="inlineStr">
        <is>
          <t>SCLS</t>
        </is>
      </c>
      <c r="E47" s="5" t="n">
        <v>28.66</v>
      </c>
      <c r="F47" s="4" t="n">
        <v>9560</v>
      </c>
      <c r="G47" s="5">
        <f>E47*F47</f>
        <v/>
      </c>
      <c r="H47" s="5">
        <f>G47*0.35</f>
        <v/>
      </c>
      <c r="I47" s="5">
        <f>(G47+H47)*0.05</f>
        <v/>
      </c>
      <c r="J47" s="5">
        <f>(G47+H47+I47)*0.03</f>
        <v/>
      </c>
      <c r="K47" s="5">
        <f>G47+H47+I47+J47</f>
        <v/>
      </c>
      <c r="L47" s="5">
        <f>K47*0.08</f>
        <v/>
      </c>
      <c r="M47" s="5">
        <f>K47+L47</f>
        <v/>
      </c>
      <c r="N47" s="4" t="n">
        <v>1912</v>
      </c>
      <c r="O47" s="5">
        <f>(E47*N47)*1.35*1.05*1.03*1.08</f>
        <v/>
      </c>
      <c r="P47" s="4" t="n">
        <v>1912</v>
      </c>
      <c r="Q47" s="5">
        <f>(E47*P47)*1.35*1.05*1.03*1.08</f>
        <v/>
      </c>
      <c r="R47" s="4" t="n">
        <v>1912</v>
      </c>
      <c r="S47" s="5">
        <f>(E47*R47)*1.35*1.05*1.03*1.08</f>
        <v/>
      </c>
      <c r="T47" s="4" t="n">
        <v>1912</v>
      </c>
      <c r="U47" s="5">
        <f>(E47*T47)*1.35*1.05*1.03*1.08</f>
        <v/>
      </c>
      <c r="V47" s="4">
        <f>F47+N47+P47+R47+T47</f>
        <v/>
      </c>
      <c r="W47" s="5">
        <f>M47+O47+Q47+S47+U47</f>
        <v/>
      </c>
    </row>
    <row r="48">
      <c r="A48" t="inlineStr">
        <is>
          <t>Fallon</t>
        </is>
      </c>
      <c r="B48" t="inlineStr">
        <is>
          <t>Tactical Data Link Analyst</t>
        </is>
      </c>
      <c r="C48" t="inlineStr">
        <is>
          <t>Non-SCA</t>
        </is>
      </c>
      <c r="D48" t="inlineStr">
        <is>
          <t>Exempt</t>
        </is>
      </c>
      <c r="E48" s="5" t="n">
        <v>75</v>
      </c>
      <c r="F48" s="4" t="n">
        <v>38240</v>
      </c>
      <c r="G48" s="5">
        <f>E48*F48</f>
        <v/>
      </c>
      <c r="H48" s="5">
        <f>G48*0.35</f>
        <v/>
      </c>
      <c r="I48" s="5">
        <f>(G48+H48)*0.05</f>
        <v/>
      </c>
      <c r="J48" s="5">
        <f>(G48+H48+I48)*0.03</f>
        <v/>
      </c>
      <c r="K48" s="5">
        <f>G48+H48+I48+J48</f>
        <v/>
      </c>
      <c r="L48" s="5">
        <f>K48*0.08</f>
        <v/>
      </c>
      <c r="M48" s="5">
        <f>K48+L48</f>
        <v/>
      </c>
      <c r="N48" s="4" t="n">
        <v>7648</v>
      </c>
      <c r="O48" s="5">
        <f>(E48*N48)*1.35*1.05*1.03*1.08</f>
        <v/>
      </c>
      <c r="P48" s="4" t="n">
        <v>7648</v>
      </c>
      <c r="Q48" s="5">
        <f>(E48*P48)*1.35*1.05*1.03*1.08</f>
        <v/>
      </c>
      <c r="R48" s="4" t="n">
        <v>7648</v>
      </c>
      <c r="S48" s="5">
        <f>(E48*R48)*1.35*1.05*1.03*1.08</f>
        <v/>
      </c>
      <c r="T48" s="4" t="n">
        <v>7648</v>
      </c>
      <c r="U48" s="5">
        <f>(E48*T48)*1.35*1.05*1.03*1.08</f>
        <v/>
      </c>
      <c r="V48" s="4">
        <f>F48+N48+P48+R48+T48</f>
        <v/>
      </c>
      <c r="W48" s="5">
        <f>M48+O48+Q48+S48+U48</f>
        <v/>
      </c>
    </row>
    <row r="49">
      <c r="A49" t="inlineStr">
        <is>
          <t>Fallon</t>
        </is>
      </c>
      <c r="B49" t="inlineStr">
        <is>
          <t>Range Control Officer</t>
        </is>
      </c>
      <c r="C49" t="inlineStr">
        <is>
          <t>Non-SCA</t>
        </is>
      </c>
      <c r="D49" t="inlineStr">
        <is>
          <t>CBA</t>
        </is>
      </c>
      <c r="E49" s="5" t="n">
        <v>80</v>
      </c>
      <c r="F49" s="4" t="n">
        <v>47800</v>
      </c>
      <c r="G49" s="5">
        <f>E49*F49</f>
        <v/>
      </c>
      <c r="H49" s="5">
        <f>G49*0.35</f>
        <v/>
      </c>
      <c r="I49" s="5">
        <f>(G49+H49)*0.05</f>
        <v/>
      </c>
      <c r="J49" s="5">
        <f>(G49+H49+I49)*0.03</f>
        <v/>
      </c>
      <c r="K49" s="5">
        <f>G49+H49+I49+J49</f>
        <v/>
      </c>
      <c r="L49" s="5">
        <f>K49*0.08</f>
        <v/>
      </c>
      <c r="M49" s="5">
        <f>K49+L49</f>
        <v/>
      </c>
      <c r="N49" s="4" t="n">
        <v>9560</v>
      </c>
      <c r="O49" s="5">
        <f>(E49*N49)*1.35*1.05*1.03*1.08</f>
        <v/>
      </c>
      <c r="P49" s="4" t="n">
        <v>9560</v>
      </c>
      <c r="Q49" s="5">
        <f>(E49*P49)*1.35*1.05*1.03*1.08</f>
        <v/>
      </c>
      <c r="R49" s="4" t="n">
        <v>9560</v>
      </c>
      <c r="S49" s="5">
        <f>(E49*R49)*1.35*1.05*1.03*1.08</f>
        <v/>
      </c>
      <c r="T49" s="4" t="n">
        <v>9560</v>
      </c>
      <c r="U49" s="5">
        <f>(E49*T49)*1.35*1.05*1.03*1.08</f>
        <v/>
      </c>
      <c r="V49" s="4">
        <f>F49+N49+P49+R49+T49</f>
        <v/>
      </c>
      <c r="W49" s="5">
        <f>M49+O49+Q49+S49+U49</f>
        <v/>
      </c>
    </row>
    <row r="50">
      <c r="A50" t="inlineStr">
        <is>
          <t>Fallon</t>
        </is>
      </c>
      <c r="B50" t="inlineStr">
        <is>
          <t>Range Control Officer, Senior</t>
        </is>
      </c>
      <c r="C50" t="inlineStr">
        <is>
          <t>Non-SCA</t>
        </is>
      </c>
      <c r="D50" t="inlineStr">
        <is>
          <t>CBA</t>
        </is>
      </c>
      <c r="E50" s="5" t="n">
        <v>90</v>
      </c>
      <c r="F50" s="4" t="n">
        <v>9560</v>
      </c>
      <c r="G50" s="5">
        <f>E50*F50</f>
        <v/>
      </c>
      <c r="H50" s="5">
        <f>G50*0.35</f>
        <v/>
      </c>
      <c r="I50" s="5">
        <f>(G50+H50)*0.05</f>
        <v/>
      </c>
      <c r="J50" s="5">
        <f>(G50+H50+I50)*0.03</f>
        <v/>
      </c>
      <c r="K50" s="5">
        <f>G50+H50+I50+J50</f>
        <v/>
      </c>
      <c r="L50" s="5">
        <f>K50*0.08</f>
        <v/>
      </c>
      <c r="M50" s="5">
        <f>K50+L50</f>
        <v/>
      </c>
      <c r="N50" s="4" t="n">
        <v>1912</v>
      </c>
      <c r="O50" s="5">
        <f>(E50*N50)*1.35*1.05*1.03*1.08</f>
        <v/>
      </c>
      <c r="P50" s="4" t="n">
        <v>1912</v>
      </c>
      <c r="Q50" s="5">
        <f>(E50*P50)*1.35*1.05*1.03*1.08</f>
        <v/>
      </c>
      <c r="R50" s="4" t="n">
        <v>1912</v>
      </c>
      <c r="S50" s="5">
        <f>(E50*R50)*1.35*1.05*1.03*1.08</f>
        <v/>
      </c>
      <c r="T50" s="4" t="n">
        <v>1912</v>
      </c>
      <c r="U50" s="5">
        <f>(E50*T50)*1.35*1.05*1.03*1.08</f>
        <v/>
      </c>
      <c r="V50" s="4">
        <f>F50+N50+P50+R50+T50</f>
        <v/>
      </c>
      <c r="W50" s="5">
        <f>M50+O50+Q50+S50+U50</f>
        <v/>
      </c>
    </row>
    <row r="51">
      <c r="A51" t="inlineStr">
        <is>
          <t>Fallon</t>
        </is>
      </c>
      <c r="B51" t="inlineStr">
        <is>
          <t>Electronics Technician II</t>
        </is>
      </c>
      <c r="C51" t="inlineStr">
        <is>
          <t>SCA</t>
        </is>
      </c>
      <c r="D51" t="inlineStr">
        <is>
          <t>SCLS</t>
        </is>
      </c>
      <c r="E51" s="5" t="n">
        <v>37.93</v>
      </c>
      <c r="F51" s="4" t="n">
        <v>478000</v>
      </c>
      <c r="G51" s="5">
        <f>E51*F51</f>
        <v/>
      </c>
      <c r="H51" s="5">
        <f>G51*0.35</f>
        <v/>
      </c>
      <c r="I51" s="5">
        <f>(G51+H51)*0.05</f>
        <v/>
      </c>
      <c r="J51" s="5">
        <f>(G51+H51+I51)*0.03</f>
        <v/>
      </c>
      <c r="K51" s="5">
        <f>G51+H51+I51+J51</f>
        <v/>
      </c>
      <c r="L51" s="5">
        <f>K51*0.08</f>
        <v/>
      </c>
      <c r="M51" s="5">
        <f>K51+L51</f>
        <v/>
      </c>
      <c r="N51" s="4" t="n">
        <v>95600</v>
      </c>
      <c r="O51" s="5">
        <f>(E51*N51)*1.35*1.05*1.03*1.08</f>
        <v/>
      </c>
      <c r="P51" s="4" t="n">
        <v>95600</v>
      </c>
      <c r="Q51" s="5">
        <f>(E51*P51)*1.35*1.05*1.03*1.08</f>
        <v/>
      </c>
      <c r="R51" s="4" t="n">
        <v>95600</v>
      </c>
      <c r="S51" s="5">
        <f>(E51*R51)*1.35*1.05*1.03*1.08</f>
        <v/>
      </c>
      <c r="T51" s="4" t="n">
        <v>95600</v>
      </c>
      <c r="U51" s="5">
        <f>(E51*T51)*1.35*1.05*1.03*1.08</f>
        <v/>
      </c>
      <c r="V51" s="4">
        <f>F51+N51+P51+R51+T51</f>
        <v/>
      </c>
      <c r="W51" s="5">
        <f>M51+O51+Q51+S51+U51</f>
        <v/>
      </c>
    </row>
    <row r="52">
      <c r="A52" t="inlineStr">
        <is>
          <t>Fallon</t>
        </is>
      </c>
      <c r="B52" t="inlineStr">
        <is>
          <t>Electronics Technician III</t>
        </is>
      </c>
      <c r="C52" t="inlineStr">
        <is>
          <t>SCA</t>
        </is>
      </c>
      <c r="D52" t="inlineStr">
        <is>
          <t>SCLS</t>
        </is>
      </c>
      <c r="E52" s="5" t="n">
        <v>39.89</v>
      </c>
      <c r="F52" s="4" t="n">
        <v>305920</v>
      </c>
      <c r="G52" s="5">
        <f>E52*F52</f>
        <v/>
      </c>
      <c r="H52" s="5">
        <f>G52*0.35</f>
        <v/>
      </c>
      <c r="I52" s="5">
        <f>(G52+H52)*0.05</f>
        <v/>
      </c>
      <c r="J52" s="5">
        <f>(G52+H52+I52)*0.03</f>
        <v/>
      </c>
      <c r="K52" s="5">
        <f>G52+H52+I52+J52</f>
        <v/>
      </c>
      <c r="L52" s="5">
        <f>K52*0.08</f>
        <v/>
      </c>
      <c r="M52" s="5">
        <f>K52+L52</f>
        <v/>
      </c>
      <c r="N52" s="4" t="n">
        <v>61184</v>
      </c>
      <c r="O52" s="5">
        <f>(E52*N52)*1.35*1.05*1.03*1.08</f>
        <v/>
      </c>
      <c r="P52" s="4" t="n">
        <v>61184</v>
      </c>
      <c r="Q52" s="5">
        <f>(E52*P52)*1.35*1.05*1.03*1.08</f>
        <v/>
      </c>
      <c r="R52" s="4" t="n">
        <v>61184</v>
      </c>
      <c r="S52" s="5">
        <f>(E52*R52)*1.35*1.05*1.03*1.08</f>
        <v/>
      </c>
      <c r="T52" s="4" t="n">
        <v>61184</v>
      </c>
      <c r="U52" s="5">
        <f>(E52*T52)*1.35*1.05*1.03*1.08</f>
        <v/>
      </c>
      <c r="V52" s="4">
        <f>F52+N52+P52+R52+T52</f>
        <v/>
      </c>
      <c r="W52" s="5">
        <f>M52+O52+Q52+S52+U52</f>
        <v/>
      </c>
    </row>
    <row r="53">
      <c r="A53" t="inlineStr">
        <is>
          <t>Fallon</t>
        </is>
      </c>
      <c r="B53" t="inlineStr">
        <is>
          <t>Engineering Technician V</t>
        </is>
      </c>
      <c r="C53" t="inlineStr">
        <is>
          <t>SCA</t>
        </is>
      </c>
      <c r="D53" t="inlineStr">
        <is>
          <t>SCLS</t>
        </is>
      </c>
      <c r="E53" s="5" t="n">
        <v>33.91</v>
      </c>
      <c r="F53" s="4" t="n">
        <v>86040</v>
      </c>
      <c r="G53" s="5">
        <f>E53*F53</f>
        <v/>
      </c>
      <c r="H53" s="5">
        <f>G53*0.35</f>
        <v/>
      </c>
      <c r="I53" s="5">
        <f>(G53+H53)*0.05</f>
        <v/>
      </c>
      <c r="J53" s="5">
        <f>(G53+H53+I53)*0.03</f>
        <v/>
      </c>
      <c r="K53" s="5">
        <f>G53+H53+I53+J53</f>
        <v/>
      </c>
      <c r="L53" s="5">
        <f>K53*0.08</f>
        <v/>
      </c>
      <c r="M53" s="5">
        <f>K53+L53</f>
        <v/>
      </c>
      <c r="N53" s="4" t="n">
        <v>17208</v>
      </c>
      <c r="O53" s="5">
        <f>(E53*N53)*1.35*1.05*1.03*1.08</f>
        <v/>
      </c>
      <c r="P53" s="4" t="n">
        <v>17208</v>
      </c>
      <c r="Q53" s="5">
        <f>(E53*P53)*1.35*1.05*1.03*1.08</f>
        <v/>
      </c>
      <c r="R53" s="4" t="n">
        <v>17208</v>
      </c>
      <c r="S53" s="5">
        <f>(E53*R53)*1.35*1.05*1.03*1.08</f>
        <v/>
      </c>
      <c r="T53" s="4" t="n">
        <v>17208</v>
      </c>
      <c r="U53" s="5">
        <f>(E53*T53)*1.35*1.05*1.03*1.08</f>
        <v/>
      </c>
      <c r="V53" s="4">
        <f>F53+N53+P53+R53+T53</f>
        <v/>
      </c>
      <c r="W53" s="5">
        <f>M53+O53+Q53+S53+U53</f>
        <v/>
      </c>
    </row>
    <row r="54">
      <c r="A54" t="inlineStr">
        <is>
          <t>Fallon</t>
        </is>
      </c>
      <c r="B54" t="inlineStr">
        <is>
          <t>Engineering Technician VI</t>
        </is>
      </c>
      <c r="C54" t="inlineStr">
        <is>
          <t>SCA</t>
        </is>
      </c>
      <c r="D54" t="inlineStr">
        <is>
          <t>SCLS</t>
        </is>
      </c>
      <c r="E54" s="5" t="n">
        <v>41.03</v>
      </c>
      <c r="F54" s="4" t="n">
        <v>38240</v>
      </c>
      <c r="G54" s="5">
        <f>E54*F54</f>
        <v/>
      </c>
      <c r="H54" s="5">
        <f>G54*0.35</f>
        <v/>
      </c>
      <c r="I54" s="5">
        <f>(G54+H54)*0.05</f>
        <v/>
      </c>
      <c r="J54" s="5">
        <f>(G54+H54+I54)*0.03</f>
        <v/>
      </c>
      <c r="K54" s="5">
        <f>G54+H54+I54+J54</f>
        <v/>
      </c>
      <c r="L54" s="5">
        <f>K54*0.08</f>
        <v/>
      </c>
      <c r="M54" s="5">
        <f>K54+L54</f>
        <v/>
      </c>
      <c r="N54" s="4" t="n">
        <v>7648</v>
      </c>
      <c r="O54" s="5">
        <f>(E54*N54)*1.35*1.05*1.03*1.08</f>
        <v/>
      </c>
      <c r="P54" s="4" t="n">
        <v>7648</v>
      </c>
      <c r="Q54" s="5">
        <f>(E54*P54)*1.35*1.05*1.03*1.08</f>
        <v/>
      </c>
      <c r="R54" s="4" t="n">
        <v>7648</v>
      </c>
      <c r="S54" s="5">
        <f>(E54*R54)*1.35*1.05*1.03*1.08</f>
        <v/>
      </c>
      <c r="T54" s="4" t="n">
        <v>7648</v>
      </c>
      <c r="U54" s="5">
        <f>(E54*T54)*1.35*1.05*1.03*1.08</f>
        <v/>
      </c>
      <c r="V54" s="4">
        <f>F54+N54+P54+R54+T54</f>
        <v/>
      </c>
      <c r="W54" s="5">
        <f>M54+O54+Q54+S54+U54</f>
        <v/>
      </c>
    </row>
    <row r="55">
      <c r="A55" t="inlineStr">
        <is>
          <t>Fallon</t>
        </is>
      </c>
      <c r="B55" t="inlineStr">
        <is>
          <t>UXO Technician II</t>
        </is>
      </c>
      <c r="C55" t="inlineStr">
        <is>
          <t>SCA</t>
        </is>
      </c>
      <c r="D55" t="inlineStr">
        <is>
          <t>CBA</t>
        </is>
      </c>
      <c r="E55" s="5" t="n">
        <v>36.19</v>
      </c>
      <c r="F55" s="4" t="n">
        <v>86040</v>
      </c>
      <c r="G55" s="5">
        <f>E55*F55</f>
        <v/>
      </c>
      <c r="H55" s="5">
        <f>G55*0.35</f>
        <v/>
      </c>
      <c r="I55" s="5">
        <f>(G55+H55)*0.05</f>
        <v/>
      </c>
      <c r="J55" s="5">
        <f>(G55+H55+I55)*0.03</f>
        <v/>
      </c>
      <c r="K55" s="5">
        <f>G55+H55+I55+J55</f>
        <v/>
      </c>
      <c r="L55" s="5">
        <f>K55*0.08</f>
        <v/>
      </c>
      <c r="M55" s="5">
        <f>K55+L55</f>
        <v/>
      </c>
      <c r="N55" s="4" t="n">
        <v>17208</v>
      </c>
      <c r="O55" s="5">
        <f>(E55*N55)*1.35*1.05*1.03*1.08</f>
        <v/>
      </c>
      <c r="P55" s="4" t="n">
        <v>17208</v>
      </c>
      <c r="Q55" s="5">
        <f>(E55*P55)*1.35*1.05*1.03*1.08</f>
        <v/>
      </c>
      <c r="R55" s="4" t="n">
        <v>17208</v>
      </c>
      <c r="S55" s="5">
        <f>(E55*R55)*1.35*1.05*1.03*1.08</f>
        <v/>
      </c>
      <c r="T55" s="4" t="n">
        <v>17208</v>
      </c>
      <c r="U55" s="5">
        <f>(E55*T55)*1.35*1.05*1.03*1.08</f>
        <v/>
      </c>
      <c r="V55" s="4">
        <f>F55+N55+P55+R55+T55</f>
        <v/>
      </c>
      <c r="W55" s="5">
        <f>M55+O55+Q55+S55+U55</f>
        <v/>
      </c>
    </row>
    <row r="56">
      <c r="A56" t="inlineStr">
        <is>
          <t>Fallon</t>
        </is>
      </c>
      <c r="B56" t="inlineStr">
        <is>
          <t>UXO Technician III</t>
        </is>
      </c>
      <c r="C56" t="inlineStr">
        <is>
          <t>SCA</t>
        </is>
      </c>
      <c r="D56" t="inlineStr">
        <is>
          <t>CBA</t>
        </is>
      </c>
      <c r="E56" s="5" t="n">
        <v>43.37</v>
      </c>
      <c r="F56" s="4" t="n">
        <v>57360</v>
      </c>
      <c r="G56" s="5">
        <f>E56*F56</f>
        <v/>
      </c>
      <c r="H56" s="5">
        <f>G56*0.35</f>
        <v/>
      </c>
      <c r="I56" s="5">
        <f>(G56+H56)*0.05</f>
        <v/>
      </c>
      <c r="J56" s="5">
        <f>(G56+H56+I56)*0.03</f>
        <v/>
      </c>
      <c r="K56" s="5">
        <f>G56+H56+I56+J56</f>
        <v/>
      </c>
      <c r="L56" s="5">
        <f>K56*0.08</f>
        <v/>
      </c>
      <c r="M56" s="5">
        <f>K56+L56</f>
        <v/>
      </c>
      <c r="N56" s="4" t="n">
        <v>11472</v>
      </c>
      <c r="O56" s="5">
        <f>(E56*N56)*1.35*1.05*1.03*1.08</f>
        <v/>
      </c>
      <c r="P56" s="4" t="n">
        <v>11472</v>
      </c>
      <c r="Q56" s="5">
        <f>(E56*P56)*1.35*1.05*1.03*1.08</f>
        <v/>
      </c>
      <c r="R56" s="4" t="n">
        <v>11472</v>
      </c>
      <c r="S56" s="5">
        <f>(E56*R56)*1.35*1.05*1.03*1.08</f>
        <v/>
      </c>
      <c r="T56" s="4" t="n">
        <v>11472</v>
      </c>
      <c r="U56" s="5">
        <f>(E56*T56)*1.35*1.05*1.03*1.08</f>
        <v/>
      </c>
      <c r="V56" s="4">
        <f>F56+N56+P56+R56+T56</f>
        <v/>
      </c>
      <c r="W56" s="5">
        <f>M56+O56+Q56+S56+U56</f>
        <v/>
      </c>
    </row>
    <row r="57">
      <c r="A57" t="inlineStr">
        <is>
          <t>Fallon</t>
        </is>
      </c>
      <c r="B57" t="inlineStr">
        <is>
          <t>Electrician</t>
        </is>
      </c>
      <c r="C57" t="inlineStr">
        <is>
          <t>Non-SCA</t>
        </is>
      </c>
      <c r="D57" t="inlineStr">
        <is>
          <t>Exempt</t>
        </is>
      </c>
      <c r="E57" s="5" t="n">
        <v>65</v>
      </c>
      <c r="F57" s="4" t="n">
        <v>9560</v>
      </c>
      <c r="G57" s="5">
        <f>E57*F57</f>
        <v/>
      </c>
      <c r="H57" s="5">
        <f>G57*0.35</f>
        <v/>
      </c>
      <c r="I57" s="5">
        <f>(G57+H57)*0.05</f>
        <v/>
      </c>
      <c r="J57" s="5">
        <f>(G57+H57+I57)*0.03</f>
        <v/>
      </c>
      <c r="K57" s="5">
        <f>G57+H57+I57+J57</f>
        <v/>
      </c>
      <c r="L57" s="5">
        <f>K57*0.08</f>
        <v/>
      </c>
      <c r="M57" s="5">
        <f>K57+L57</f>
        <v/>
      </c>
      <c r="N57" s="4" t="n">
        <v>1912</v>
      </c>
      <c r="O57" s="5">
        <f>(E57*N57)*1.35*1.05*1.03*1.08</f>
        <v/>
      </c>
      <c r="P57" s="4" t="n">
        <v>1912</v>
      </c>
      <c r="Q57" s="5">
        <f>(E57*P57)*1.35*1.05*1.03*1.08</f>
        <v/>
      </c>
      <c r="R57" s="4" t="n">
        <v>1912</v>
      </c>
      <c r="S57" s="5">
        <f>(E57*R57)*1.35*1.05*1.03*1.08</f>
        <v/>
      </c>
      <c r="T57" s="4" t="n">
        <v>1912</v>
      </c>
      <c r="U57" s="5">
        <f>(E57*T57)*1.35*1.05*1.03*1.08</f>
        <v/>
      </c>
      <c r="V57" s="4">
        <f>F57+N57+P57+R57+T57</f>
        <v/>
      </c>
      <c r="W57" s="5">
        <f>M57+O57+Q57+S57+U57</f>
        <v/>
      </c>
    </row>
    <row r="58">
      <c r="A58" t="inlineStr">
        <is>
          <t>Fallon</t>
        </is>
      </c>
      <c r="B58" t="inlineStr">
        <is>
          <t>General Maintenance Worker</t>
        </is>
      </c>
      <c r="C58" t="inlineStr">
        <is>
          <t>SCA</t>
        </is>
      </c>
      <c r="D58" t="inlineStr">
        <is>
          <t>CBA</t>
        </is>
      </c>
      <c r="E58" s="5" t="n">
        <v>24.08</v>
      </c>
      <c r="F58" s="4" t="n">
        <v>28680</v>
      </c>
      <c r="G58" s="5">
        <f>E58*F58</f>
        <v/>
      </c>
      <c r="H58" s="5">
        <f>G58*0.35</f>
        <v/>
      </c>
      <c r="I58" s="5">
        <f>(G58+H58)*0.05</f>
        <v/>
      </c>
      <c r="J58" s="5">
        <f>(G58+H58+I58)*0.03</f>
        <v/>
      </c>
      <c r="K58" s="5">
        <f>G58+H58+I58+J58</f>
        <v/>
      </c>
      <c r="L58" s="5">
        <f>K58*0.08</f>
        <v/>
      </c>
      <c r="M58" s="5">
        <f>K58+L58</f>
        <v/>
      </c>
      <c r="N58" s="4" t="n">
        <v>5736</v>
      </c>
      <c r="O58" s="5">
        <f>(E58*N58)*1.35*1.05*1.03*1.08</f>
        <v/>
      </c>
      <c r="P58" s="4" t="n">
        <v>5736</v>
      </c>
      <c r="Q58" s="5">
        <f>(E58*P58)*1.35*1.05*1.03*1.08</f>
        <v/>
      </c>
      <c r="R58" s="4" t="n">
        <v>5736</v>
      </c>
      <c r="S58" s="5">
        <f>(E58*R58)*1.35*1.05*1.03*1.08</f>
        <v/>
      </c>
      <c r="T58" s="4" t="n">
        <v>5736</v>
      </c>
      <c r="U58" s="5">
        <f>(E58*T58)*1.35*1.05*1.03*1.08</f>
        <v/>
      </c>
      <c r="V58" s="4">
        <f>F58+N58+P58+R58+T58</f>
        <v/>
      </c>
      <c r="W58" s="5">
        <f>M58+O58+Q58+S58+U58</f>
        <v/>
      </c>
    </row>
    <row r="59">
      <c r="A59" t="inlineStr">
        <is>
          <t>Fallon</t>
        </is>
      </c>
      <c r="B59" t="inlineStr">
        <is>
          <t>Generator Technician II</t>
        </is>
      </c>
      <c r="C59" t="inlineStr">
        <is>
          <t>Non-SCA</t>
        </is>
      </c>
      <c r="D59" t="inlineStr">
        <is>
          <t>Exempt</t>
        </is>
      </c>
      <c r="E59" s="5" t="n">
        <v>55</v>
      </c>
      <c r="F59" s="4" t="n">
        <v>19120</v>
      </c>
      <c r="G59" s="5">
        <f>E59*F59</f>
        <v/>
      </c>
      <c r="H59" s="5">
        <f>G59*0.35</f>
        <v/>
      </c>
      <c r="I59" s="5">
        <f>(G59+H59)*0.05</f>
        <v/>
      </c>
      <c r="J59" s="5">
        <f>(G59+H59+I59)*0.03</f>
        <v/>
      </c>
      <c r="K59" s="5">
        <f>G59+H59+I59+J59</f>
        <v/>
      </c>
      <c r="L59" s="5">
        <f>K59*0.08</f>
        <v/>
      </c>
      <c r="M59" s="5">
        <f>K59+L59</f>
        <v/>
      </c>
      <c r="N59" s="4" t="n">
        <v>3824</v>
      </c>
      <c r="O59" s="5">
        <f>(E59*N59)*1.35*1.05*1.03*1.08</f>
        <v/>
      </c>
      <c r="P59" s="4" t="n">
        <v>3824</v>
      </c>
      <c r="Q59" s="5">
        <f>(E59*P59)*1.35*1.05*1.03*1.08</f>
        <v/>
      </c>
      <c r="R59" s="4" t="n">
        <v>3824</v>
      </c>
      <c r="S59" s="5">
        <f>(E59*R59)*1.35*1.05*1.03*1.08</f>
        <v/>
      </c>
      <c r="T59" s="4" t="n">
        <v>3824</v>
      </c>
      <c r="U59" s="5">
        <f>(E59*T59)*1.35*1.05*1.03*1.08</f>
        <v/>
      </c>
      <c r="V59" s="4">
        <f>F59+N59+P59+R59+T59</f>
        <v/>
      </c>
      <c r="W59" s="5">
        <f>M59+O59+Q59+S59+U59</f>
        <v/>
      </c>
    </row>
    <row r="60">
      <c r="A60" t="inlineStr">
        <is>
          <t>Fallon</t>
        </is>
      </c>
      <c r="B60" t="inlineStr">
        <is>
          <t>Generator Technician III</t>
        </is>
      </c>
      <c r="C60" t="inlineStr">
        <is>
          <t>Non-SCA</t>
        </is>
      </c>
      <c r="D60" t="inlineStr">
        <is>
          <t>Exempt</t>
        </is>
      </c>
      <c r="E60" s="5" t="n">
        <v>65</v>
      </c>
      <c r="F60" s="4" t="n">
        <v>38240</v>
      </c>
      <c r="G60" s="5">
        <f>E60*F60</f>
        <v/>
      </c>
      <c r="H60" s="5">
        <f>G60*0.35</f>
        <v/>
      </c>
      <c r="I60" s="5">
        <f>(G60+H60)*0.05</f>
        <v/>
      </c>
      <c r="J60" s="5">
        <f>(G60+H60+I60)*0.03</f>
        <v/>
      </c>
      <c r="K60" s="5">
        <f>G60+H60+I60+J60</f>
        <v/>
      </c>
      <c r="L60" s="5">
        <f>K60*0.08</f>
        <v/>
      </c>
      <c r="M60" s="5">
        <f>K60+L60</f>
        <v/>
      </c>
      <c r="N60" s="4" t="n">
        <v>7648</v>
      </c>
      <c r="O60" s="5">
        <f>(E60*N60)*1.35*1.05*1.03*1.08</f>
        <v/>
      </c>
      <c r="P60" s="4" t="n">
        <v>7648</v>
      </c>
      <c r="Q60" s="5">
        <f>(E60*P60)*1.35*1.05*1.03*1.08</f>
        <v/>
      </c>
      <c r="R60" s="4" t="n">
        <v>7648</v>
      </c>
      <c r="S60" s="5">
        <f>(E60*R60)*1.35*1.05*1.03*1.08</f>
        <v/>
      </c>
      <c r="T60" s="4" t="n">
        <v>7648</v>
      </c>
      <c r="U60" s="5">
        <f>(E60*T60)*1.35*1.05*1.03*1.08</f>
        <v/>
      </c>
      <c r="V60" s="4">
        <f>F60+N60+P60+R60+T60</f>
        <v/>
      </c>
      <c r="W60" s="5">
        <f>M60+O60+Q60+S60+U60</f>
        <v/>
      </c>
    </row>
    <row r="61">
      <c r="A61" t="inlineStr">
        <is>
          <t>Fallon</t>
        </is>
      </c>
      <c r="B61" t="inlineStr">
        <is>
          <t>Heating, Ventilation and Air Conditioning</t>
        </is>
      </c>
      <c r="C61" t="inlineStr">
        <is>
          <t>SCA</t>
        </is>
      </c>
      <c r="D61" t="inlineStr">
        <is>
          <t>SCLS</t>
        </is>
      </c>
      <c r="E61" s="5" t="n">
        <v>29.04</v>
      </c>
      <c r="F61" s="4" t="n">
        <v>9560</v>
      </c>
      <c r="G61" s="5">
        <f>E61*F61</f>
        <v/>
      </c>
      <c r="H61" s="5">
        <f>G61*0.35</f>
        <v/>
      </c>
      <c r="I61" s="5">
        <f>(G61+H61)*0.05</f>
        <v/>
      </c>
      <c r="J61" s="5">
        <f>(G61+H61+I61)*0.03</f>
        <v/>
      </c>
      <c r="K61" s="5">
        <f>G61+H61+I61+J61</f>
        <v/>
      </c>
      <c r="L61" s="5">
        <f>K61*0.08</f>
        <v/>
      </c>
      <c r="M61" s="5">
        <f>K61+L61</f>
        <v/>
      </c>
      <c r="N61" s="4" t="n">
        <v>1912</v>
      </c>
      <c r="O61" s="5">
        <f>(E61*N61)*1.35*1.05*1.03*1.08</f>
        <v/>
      </c>
      <c r="P61" s="4" t="n">
        <v>1912</v>
      </c>
      <c r="Q61" s="5">
        <f>(E61*P61)*1.35*1.05*1.03*1.08</f>
        <v/>
      </c>
      <c r="R61" s="4" t="n">
        <v>1912</v>
      </c>
      <c r="S61" s="5">
        <f>(E61*R61)*1.35*1.05*1.03*1.08</f>
        <v/>
      </c>
      <c r="T61" s="4" t="n">
        <v>1912</v>
      </c>
      <c r="U61" s="5">
        <f>(E61*T61)*1.35*1.05*1.03*1.08</f>
        <v/>
      </c>
      <c r="V61" s="4">
        <f>F61+N61+P61+R61+T61</f>
        <v/>
      </c>
      <c r="W61" s="5">
        <f>M61+O61+Q61+S61+U61</f>
        <v/>
      </c>
    </row>
    <row r="62">
      <c r="A62" t="inlineStr">
        <is>
          <t>Fallon</t>
        </is>
      </c>
      <c r="B62" t="inlineStr">
        <is>
          <t>Heavy Equipment Mechanic/Operator</t>
        </is>
      </c>
      <c r="C62" t="inlineStr">
        <is>
          <t>SCA</t>
        </is>
      </c>
      <c r="D62" t="inlineStr">
        <is>
          <t>CBA</t>
        </is>
      </c>
      <c r="E62" s="5" t="n">
        <v>40.62</v>
      </c>
      <c r="F62" s="4" t="n">
        <v>76480</v>
      </c>
      <c r="G62" s="5">
        <f>E62*F62</f>
        <v/>
      </c>
      <c r="H62" s="5">
        <f>G62*0.35</f>
        <v/>
      </c>
      <c r="I62" s="5">
        <f>(G62+H62)*0.05</f>
        <v/>
      </c>
      <c r="J62" s="5">
        <f>(G62+H62+I62)*0.03</f>
        <v/>
      </c>
      <c r="K62" s="5">
        <f>G62+H62+I62+J62</f>
        <v/>
      </c>
      <c r="L62" s="5">
        <f>K62*0.08</f>
        <v/>
      </c>
      <c r="M62" s="5">
        <f>K62+L62</f>
        <v/>
      </c>
      <c r="N62" s="4" t="n">
        <v>15296</v>
      </c>
      <c r="O62" s="5">
        <f>(E62*N62)*1.35*1.05*1.03*1.08</f>
        <v/>
      </c>
      <c r="P62" s="4" t="n">
        <v>15296</v>
      </c>
      <c r="Q62" s="5">
        <f>(E62*P62)*1.35*1.05*1.03*1.08</f>
        <v/>
      </c>
      <c r="R62" s="4" t="n">
        <v>15296</v>
      </c>
      <c r="S62" s="5">
        <f>(E62*R62)*1.35*1.05*1.03*1.08</f>
        <v/>
      </c>
      <c r="T62" s="4" t="n">
        <v>15296</v>
      </c>
      <c r="U62" s="5">
        <f>(E62*T62)*1.35*1.05*1.03*1.08</f>
        <v/>
      </c>
      <c r="V62" s="4">
        <f>F62+N62+P62+R62+T62</f>
        <v/>
      </c>
      <c r="W62" s="5">
        <f>M62+O62+Q62+S62+U62</f>
        <v/>
      </c>
    </row>
    <row r="63">
      <c r="A63" t="inlineStr">
        <is>
          <t>Fallon</t>
        </is>
      </c>
      <c r="B63" t="inlineStr">
        <is>
          <t>Machinist</t>
        </is>
      </c>
      <c r="C63" t="inlineStr">
        <is>
          <t>SCA</t>
        </is>
      </c>
      <c r="D63" t="inlineStr">
        <is>
          <t>CBA</t>
        </is>
      </c>
      <c r="E63" s="5" t="n">
        <v>27.23</v>
      </c>
      <c r="F63" s="4" t="n">
        <v>9560</v>
      </c>
      <c r="G63" s="5">
        <f>E63*F63</f>
        <v/>
      </c>
      <c r="H63" s="5">
        <f>G63*0.35</f>
        <v/>
      </c>
      <c r="I63" s="5">
        <f>(G63+H63)*0.05</f>
        <v/>
      </c>
      <c r="J63" s="5">
        <f>(G63+H63+I63)*0.03</f>
        <v/>
      </c>
      <c r="K63" s="5">
        <f>G63+H63+I63+J63</f>
        <v/>
      </c>
      <c r="L63" s="5">
        <f>K63*0.08</f>
        <v/>
      </c>
      <c r="M63" s="5">
        <f>K63+L63</f>
        <v/>
      </c>
      <c r="N63" s="4" t="n">
        <v>1912</v>
      </c>
      <c r="O63" s="5">
        <f>(E63*N63)*1.35*1.05*1.03*1.08</f>
        <v/>
      </c>
      <c r="P63" s="4" t="n">
        <v>1912</v>
      </c>
      <c r="Q63" s="5">
        <f>(E63*P63)*1.35*1.05*1.03*1.08</f>
        <v/>
      </c>
      <c r="R63" s="4" t="n">
        <v>1912</v>
      </c>
      <c r="S63" s="5">
        <f>(E63*R63)*1.35*1.05*1.03*1.08</f>
        <v/>
      </c>
      <c r="T63" s="4" t="n">
        <v>1912</v>
      </c>
      <c r="U63" s="5">
        <f>(E63*T63)*1.35*1.05*1.03*1.08</f>
        <v/>
      </c>
      <c r="V63" s="4">
        <f>F63+N63+P63+R63+T63</f>
        <v/>
      </c>
      <c r="W63" s="5">
        <f>M63+O63+Q63+S63+U63</f>
        <v/>
      </c>
    </row>
    <row r="64">
      <c r="A64" t="inlineStr">
        <is>
          <t>Fallon</t>
        </is>
      </c>
      <c r="B64" t="inlineStr">
        <is>
          <t>Motor Vehicle Mechanic</t>
        </is>
      </c>
      <c r="C64" t="inlineStr">
        <is>
          <t>SCA</t>
        </is>
      </c>
      <c r="D64" t="inlineStr">
        <is>
          <t>CBA</t>
        </is>
      </c>
      <c r="E64" s="5" t="n">
        <v>28.56</v>
      </c>
      <c r="F64" s="4" t="n">
        <v>9560</v>
      </c>
      <c r="G64" s="5">
        <f>E64*F64</f>
        <v/>
      </c>
      <c r="H64" s="5">
        <f>G64*0.35</f>
        <v/>
      </c>
      <c r="I64" s="5">
        <f>(G64+H64)*0.05</f>
        <v/>
      </c>
      <c r="J64" s="5">
        <f>(G64+H64+I64)*0.03</f>
        <v/>
      </c>
      <c r="K64" s="5">
        <f>G64+H64+I64+J64</f>
        <v/>
      </c>
      <c r="L64" s="5">
        <f>K64*0.08</f>
        <v/>
      </c>
      <c r="M64" s="5">
        <f>K64+L64</f>
        <v/>
      </c>
      <c r="N64" s="4" t="n">
        <v>1912</v>
      </c>
      <c r="O64" s="5">
        <f>(E64*N64)*1.35*1.05*1.03*1.08</f>
        <v/>
      </c>
      <c r="P64" s="4" t="n">
        <v>1912</v>
      </c>
      <c r="Q64" s="5">
        <f>(E64*P64)*1.35*1.05*1.03*1.08</f>
        <v/>
      </c>
      <c r="R64" s="4" t="n">
        <v>1912</v>
      </c>
      <c r="S64" s="5">
        <f>(E64*R64)*1.35*1.05*1.03*1.08</f>
        <v/>
      </c>
      <c r="T64" s="4" t="n">
        <v>1912</v>
      </c>
      <c r="U64" s="5">
        <f>(E64*T64)*1.35*1.05*1.03*1.08</f>
        <v/>
      </c>
      <c r="V64" s="4">
        <f>F64+N64+P64+R64+T64</f>
        <v/>
      </c>
      <c r="W64" s="5">
        <f>M64+O64+Q64+S64+U64</f>
        <v/>
      </c>
    </row>
    <row r="65">
      <c r="A65" t="inlineStr">
        <is>
          <t>Fallon</t>
        </is>
      </c>
      <c r="B65" t="inlineStr">
        <is>
          <t>Automotive Worker</t>
        </is>
      </c>
      <c r="C65" t="inlineStr">
        <is>
          <t>SCA</t>
        </is>
      </c>
      <c r="D65" t="inlineStr">
        <is>
          <t>CBA</t>
        </is>
      </c>
      <c r="E65" s="5" t="n">
        <v>25.75</v>
      </c>
      <c r="F65" s="4" t="n">
        <v>9560</v>
      </c>
      <c r="G65" s="5">
        <f>E65*F65</f>
        <v/>
      </c>
      <c r="H65" s="5">
        <f>G65*0.35</f>
        <v/>
      </c>
      <c r="I65" s="5">
        <f>(G65+H65)*0.05</f>
        <v/>
      </c>
      <c r="J65" s="5">
        <f>(G65+H65+I65)*0.03</f>
        <v/>
      </c>
      <c r="K65" s="5">
        <f>G65+H65+I65+J65</f>
        <v/>
      </c>
      <c r="L65" s="5">
        <f>K65*0.08</f>
        <v/>
      </c>
      <c r="M65" s="5">
        <f>K65+L65</f>
        <v/>
      </c>
      <c r="N65" s="4" t="n">
        <v>1912</v>
      </c>
      <c r="O65" s="5">
        <f>(E65*N65)*1.35*1.05*1.03*1.08</f>
        <v/>
      </c>
      <c r="P65" s="4" t="n">
        <v>1912</v>
      </c>
      <c r="Q65" s="5">
        <f>(E65*P65)*1.35*1.05*1.03*1.08</f>
        <v/>
      </c>
      <c r="R65" s="4" t="n">
        <v>1912</v>
      </c>
      <c r="S65" s="5">
        <f>(E65*R65)*1.35*1.05*1.03*1.08</f>
        <v/>
      </c>
      <c r="T65" s="4" t="n">
        <v>1912</v>
      </c>
      <c r="U65" s="5">
        <f>(E65*T65)*1.35*1.05*1.03*1.08</f>
        <v/>
      </c>
      <c r="V65" s="4">
        <f>F65+N65+P65+R65+T65</f>
        <v/>
      </c>
      <c r="W65" s="5">
        <f>M65+O65+Q65+S65+U65</f>
        <v/>
      </c>
    </row>
    <row r="66">
      <c r="A66" t="inlineStr">
        <is>
          <t>Fallon</t>
        </is>
      </c>
      <c r="B66" t="inlineStr">
        <is>
          <t>METROLOGY TECHNICIAN I</t>
        </is>
      </c>
      <c r="C66" t="inlineStr">
        <is>
          <t>SCA</t>
        </is>
      </c>
      <c r="D66" t="inlineStr">
        <is>
          <t>CBA</t>
        </is>
      </c>
      <c r="E66" s="5" t="n">
        <v>35.38</v>
      </c>
      <c r="F66" s="4" t="n">
        <v>9560</v>
      </c>
      <c r="G66" s="5">
        <f>E66*F66</f>
        <v/>
      </c>
      <c r="H66" s="5">
        <f>G66*0.35</f>
        <v/>
      </c>
      <c r="I66" s="5">
        <f>(G66+H66)*0.05</f>
        <v/>
      </c>
      <c r="J66" s="5">
        <f>(G66+H66+I66)*0.03</f>
        <v/>
      </c>
      <c r="K66" s="5">
        <f>G66+H66+I66+J66</f>
        <v/>
      </c>
      <c r="L66" s="5">
        <f>K66*0.08</f>
        <v/>
      </c>
      <c r="M66" s="5">
        <f>K66+L66</f>
        <v/>
      </c>
      <c r="N66" s="4" t="n">
        <v>1912</v>
      </c>
      <c r="O66" s="5">
        <f>(E66*N66)*1.35*1.05*1.03*1.08</f>
        <v/>
      </c>
      <c r="P66" s="4" t="n">
        <v>1912</v>
      </c>
      <c r="Q66" s="5">
        <f>(E66*P66)*1.35*1.05*1.03*1.08</f>
        <v/>
      </c>
      <c r="R66" s="4" t="n">
        <v>1912</v>
      </c>
      <c r="S66" s="5">
        <f>(E66*R66)*1.35*1.05*1.03*1.08</f>
        <v/>
      </c>
      <c r="T66" s="4" t="n">
        <v>1912</v>
      </c>
      <c r="U66" s="5">
        <f>(E66*T66)*1.35*1.05*1.03*1.08</f>
        <v/>
      </c>
      <c r="V66" s="4">
        <f>F66+N66+P66+R66+T66</f>
        <v/>
      </c>
      <c r="W66" s="5">
        <f>M66+O66+Q66+S66+U66</f>
        <v/>
      </c>
    </row>
    <row r="67">
      <c r="A67" t="inlineStr">
        <is>
          <t>Fallon</t>
        </is>
      </c>
      <c r="B67" t="inlineStr">
        <is>
          <t xml:space="preserve">Surveyor </t>
        </is>
      </c>
      <c r="C67" t="inlineStr">
        <is>
          <t>Non-SCA</t>
        </is>
      </c>
      <c r="D67" t="inlineStr">
        <is>
          <t>CBA</t>
        </is>
      </c>
      <c r="E67" s="5" t="n">
        <v>80</v>
      </c>
      <c r="F67" s="4" t="n">
        <v>9560</v>
      </c>
      <c r="G67" s="5">
        <f>E67*F67</f>
        <v/>
      </c>
      <c r="H67" s="5">
        <f>G67*0.35</f>
        <v/>
      </c>
      <c r="I67" s="5">
        <f>(G67+H67)*0.05</f>
        <v/>
      </c>
      <c r="J67" s="5">
        <f>(G67+H67+I67)*0.03</f>
        <v/>
      </c>
      <c r="K67" s="5">
        <f>G67+H67+I67+J67</f>
        <v/>
      </c>
      <c r="L67" s="5">
        <f>K67*0.08</f>
        <v/>
      </c>
      <c r="M67" s="5">
        <f>K67+L67</f>
        <v/>
      </c>
      <c r="N67" s="4" t="n">
        <v>1912</v>
      </c>
      <c r="O67" s="5">
        <f>(E67*N67)*1.35*1.05*1.03*1.08</f>
        <v/>
      </c>
      <c r="P67" s="4" t="n">
        <v>1912</v>
      </c>
      <c r="Q67" s="5">
        <f>(E67*P67)*1.35*1.05*1.03*1.08</f>
        <v/>
      </c>
      <c r="R67" s="4" t="n">
        <v>1912</v>
      </c>
      <c r="S67" s="5">
        <f>(E67*R67)*1.35*1.05*1.03*1.08</f>
        <v/>
      </c>
      <c r="T67" s="4" t="n">
        <v>1912</v>
      </c>
      <c r="U67" s="5">
        <f>(E67*T67)*1.35*1.05*1.03*1.08</f>
        <v/>
      </c>
      <c r="V67" s="4">
        <f>F67+N67+P67+R67+T67</f>
        <v/>
      </c>
      <c r="W67" s="5">
        <f>M67+O67+Q67+S67+U67</f>
        <v/>
      </c>
    </row>
    <row r="68">
      <c r="A68" t="inlineStr">
        <is>
          <t>Fallon</t>
        </is>
      </c>
      <c r="B68" t="inlineStr">
        <is>
          <t>Maintenance Coordinator</t>
        </is>
      </c>
      <c r="C68" t="inlineStr">
        <is>
          <t>Non-SCA</t>
        </is>
      </c>
      <c r="D68" t="inlineStr">
        <is>
          <t>Exempt</t>
        </is>
      </c>
      <c r="E68" s="5" t="n">
        <v>80</v>
      </c>
      <c r="F68" s="4" t="n">
        <v>28680</v>
      </c>
      <c r="G68" s="5">
        <f>E68*F68</f>
        <v/>
      </c>
      <c r="H68" s="5">
        <f>G68*0.35</f>
        <v/>
      </c>
      <c r="I68" s="5">
        <f>(G68+H68)*0.05</f>
        <v/>
      </c>
      <c r="J68" s="5">
        <f>(G68+H68+I68)*0.03</f>
        <v/>
      </c>
      <c r="K68" s="5">
        <f>G68+H68+I68+J68</f>
        <v/>
      </c>
      <c r="L68" s="5">
        <f>K68*0.08</f>
        <v/>
      </c>
      <c r="M68" s="5">
        <f>K68+L68</f>
        <v/>
      </c>
      <c r="N68" s="4" t="n">
        <v>5736</v>
      </c>
      <c r="O68" s="5">
        <f>(E68*N68)*1.35*1.05*1.03*1.08</f>
        <v/>
      </c>
      <c r="P68" s="4" t="n">
        <v>5736</v>
      </c>
      <c r="Q68" s="5">
        <f>(E68*P68)*1.35*1.05*1.03*1.08</f>
        <v/>
      </c>
      <c r="R68" s="4" t="n">
        <v>5736</v>
      </c>
      <c r="S68" s="5">
        <f>(E68*R68)*1.35*1.05*1.03*1.08</f>
        <v/>
      </c>
      <c r="T68" s="4" t="n">
        <v>5736</v>
      </c>
      <c r="U68" s="5">
        <f>(E68*T68)*1.35*1.05*1.03*1.08</f>
        <v/>
      </c>
      <c r="V68" s="4">
        <f>F68+N68+P68+R68+T68</f>
        <v/>
      </c>
      <c r="W68" s="5">
        <f>M68+O68+Q68+S68+U68</f>
        <v/>
      </c>
    </row>
    <row r="69">
      <c r="A69" t="inlineStr">
        <is>
          <t>Fallon</t>
        </is>
      </c>
      <c r="B69" t="inlineStr">
        <is>
          <t>Logistician Analyst IV</t>
        </is>
      </c>
      <c r="C69" t="inlineStr">
        <is>
          <t>Non-SCA</t>
        </is>
      </c>
      <c r="D69" t="inlineStr">
        <is>
          <t>Exempt</t>
        </is>
      </c>
      <c r="E69" s="5" t="n">
        <v>75</v>
      </c>
      <c r="F69" s="4" t="n">
        <v>9560</v>
      </c>
      <c r="G69" s="5">
        <f>E69*F69</f>
        <v/>
      </c>
      <c r="H69" s="5">
        <f>G69*0.35</f>
        <v/>
      </c>
      <c r="I69" s="5">
        <f>(G69+H69)*0.05</f>
        <v/>
      </c>
      <c r="J69" s="5">
        <f>(G69+H69+I69)*0.03</f>
        <v/>
      </c>
      <c r="K69" s="5">
        <f>G69+H69+I69+J69</f>
        <v/>
      </c>
      <c r="L69" s="5">
        <f>K69*0.08</f>
        <v/>
      </c>
      <c r="M69" s="5">
        <f>K69+L69</f>
        <v/>
      </c>
      <c r="N69" s="4" t="n">
        <v>1912</v>
      </c>
      <c r="O69" s="5">
        <f>(E69*N69)*1.35*1.05*1.03*1.08</f>
        <v/>
      </c>
      <c r="P69" s="4" t="n">
        <v>1912</v>
      </c>
      <c r="Q69" s="5">
        <f>(E69*P69)*1.35*1.05*1.03*1.08</f>
        <v/>
      </c>
      <c r="R69" s="4" t="n">
        <v>1912</v>
      </c>
      <c r="S69" s="5">
        <f>(E69*R69)*1.35*1.05*1.03*1.08</f>
        <v/>
      </c>
      <c r="T69" s="4" t="n">
        <v>1912</v>
      </c>
      <c r="U69" s="5">
        <f>(E69*T69)*1.35*1.05*1.03*1.08</f>
        <v/>
      </c>
      <c r="V69" s="4">
        <f>F69+N69+P69+R69+T69</f>
        <v/>
      </c>
      <c r="W69" s="5">
        <f>M69+O69+Q69+S69+U69</f>
        <v/>
      </c>
    </row>
    <row r="70">
      <c r="A70" t="inlineStr">
        <is>
          <t>Fallon</t>
        </is>
      </c>
      <c r="B70" t="inlineStr">
        <is>
          <t>Supply Technician</t>
        </is>
      </c>
      <c r="C70" t="inlineStr">
        <is>
          <t>SCA</t>
        </is>
      </c>
      <c r="D70" t="inlineStr">
        <is>
          <t>CBA</t>
        </is>
      </c>
      <c r="E70" s="5" t="n">
        <v>30.26</v>
      </c>
      <c r="F70" s="4" t="n">
        <v>28680</v>
      </c>
      <c r="G70" s="5">
        <f>E70*F70</f>
        <v/>
      </c>
      <c r="H70" s="5">
        <f>G70*0.35</f>
        <v/>
      </c>
      <c r="I70" s="5">
        <f>(G70+H70)*0.05</f>
        <v/>
      </c>
      <c r="J70" s="5">
        <f>(G70+H70+I70)*0.03</f>
        <v/>
      </c>
      <c r="K70" s="5">
        <f>G70+H70+I70+J70</f>
        <v/>
      </c>
      <c r="L70" s="5">
        <f>K70*0.08</f>
        <v/>
      </c>
      <c r="M70" s="5">
        <f>K70+L70</f>
        <v/>
      </c>
      <c r="N70" s="4" t="n">
        <v>5736</v>
      </c>
      <c r="O70" s="5">
        <f>(E70*N70)*1.35*1.05*1.03*1.08</f>
        <v/>
      </c>
      <c r="P70" s="4" t="n">
        <v>5736</v>
      </c>
      <c r="Q70" s="5">
        <f>(E70*P70)*1.35*1.05*1.03*1.08</f>
        <v/>
      </c>
      <c r="R70" s="4" t="n">
        <v>5736</v>
      </c>
      <c r="S70" s="5">
        <f>(E70*R70)*1.35*1.05*1.03*1.08</f>
        <v/>
      </c>
      <c r="T70" s="4" t="n">
        <v>5736</v>
      </c>
      <c r="U70" s="5">
        <f>(E70*T70)*1.35*1.05*1.03*1.08</f>
        <v/>
      </c>
      <c r="V70" s="4">
        <f>F70+N70+P70+R70+T70</f>
        <v/>
      </c>
      <c r="W70" s="5">
        <f>M70+O70+Q70+S70+U70</f>
        <v/>
      </c>
    </row>
    <row r="71">
      <c r="A71" t="inlineStr">
        <is>
          <t>Fallon</t>
        </is>
      </c>
      <c r="B71" t="inlineStr">
        <is>
          <t>Security Coordinator</t>
        </is>
      </c>
      <c r="C71" t="inlineStr">
        <is>
          <t>Non-SCA</t>
        </is>
      </c>
      <c r="D71" t="inlineStr">
        <is>
          <t>Exempt</t>
        </is>
      </c>
      <c r="E71" s="5" t="n">
        <v>70</v>
      </c>
      <c r="F71" s="4" t="n">
        <v>66920</v>
      </c>
      <c r="G71" s="5">
        <f>E71*F71</f>
        <v/>
      </c>
      <c r="H71" s="5">
        <f>G71*0.35</f>
        <v/>
      </c>
      <c r="I71" s="5">
        <f>(G71+H71)*0.05</f>
        <v/>
      </c>
      <c r="J71" s="5">
        <f>(G71+H71+I71)*0.03</f>
        <v/>
      </c>
      <c r="K71" s="5">
        <f>G71+H71+I71+J71</f>
        <v/>
      </c>
      <c r="L71" s="5">
        <f>K71*0.08</f>
        <v/>
      </c>
      <c r="M71" s="5">
        <f>K71+L71</f>
        <v/>
      </c>
      <c r="N71" s="4" t="n">
        <v>13384</v>
      </c>
      <c r="O71" s="5">
        <f>(E71*N71)*1.35*1.05*1.03*1.08</f>
        <v/>
      </c>
      <c r="P71" s="4" t="n">
        <v>13384</v>
      </c>
      <c r="Q71" s="5">
        <f>(E71*P71)*1.35*1.05*1.03*1.08</f>
        <v/>
      </c>
      <c r="R71" s="4" t="n">
        <v>13384</v>
      </c>
      <c r="S71" s="5">
        <f>(E71*R71)*1.35*1.05*1.03*1.08</f>
        <v/>
      </c>
      <c r="T71" s="4" t="n">
        <v>13384</v>
      </c>
      <c r="U71" s="5">
        <f>(E71*T71)*1.35*1.05*1.03*1.08</f>
        <v/>
      </c>
      <c r="V71" s="4">
        <f>F71+N71+P71+R71+T71</f>
        <v/>
      </c>
      <c r="W71" s="5">
        <f>M71+O71+Q71+S71+U71</f>
        <v/>
      </c>
    </row>
    <row r="72">
      <c r="A72" t="inlineStr">
        <is>
          <t>Fallon</t>
        </is>
      </c>
      <c r="B72" t="inlineStr">
        <is>
          <t>Quality Assurance/Safety Evaluator</t>
        </is>
      </c>
      <c r="C72" t="inlineStr">
        <is>
          <t>Non-SCA</t>
        </is>
      </c>
      <c r="D72" t="inlineStr">
        <is>
          <t>CBA</t>
        </is>
      </c>
      <c r="E72" s="5" t="n">
        <v>75</v>
      </c>
      <c r="F72" s="4" t="n">
        <v>57360</v>
      </c>
      <c r="G72" s="5">
        <f>E72*F72</f>
        <v/>
      </c>
      <c r="H72" s="5">
        <f>G72*0.35</f>
        <v/>
      </c>
      <c r="I72" s="5">
        <f>(G72+H72)*0.05</f>
        <v/>
      </c>
      <c r="J72" s="5">
        <f>(G72+H72+I72)*0.03</f>
        <v/>
      </c>
      <c r="K72" s="5">
        <f>G72+H72+I72+J72</f>
        <v/>
      </c>
      <c r="L72" s="5">
        <f>K72*0.08</f>
        <v/>
      </c>
      <c r="M72" s="5">
        <f>K72+L72</f>
        <v/>
      </c>
      <c r="N72" s="4" t="n">
        <v>11472</v>
      </c>
      <c r="O72" s="5">
        <f>(E72*N72)*1.35*1.05*1.03*1.08</f>
        <v/>
      </c>
      <c r="P72" s="4" t="n">
        <v>11472</v>
      </c>
      <c r="Q72" s="5">
        <f>(E72*P72)*1.35*1.05*1.03*1.08</f>
        <v/>
      </c>
      <c r="R72" s="4" t="n">
        <v>11472</v>
      </c>
      <c r="S72" s="5">
        <f>(E72*R72)*1.35*1.05*1.03*1.08</f>
        <v/>
      </c>
      <c r="T72" s="4" t="n">
        <v>11472</v>
      </c>
      <c r="U72" s="5">
        <f>(E72*T72)*1.35*1.05*1.03*1.08</f>
        <v/>
      </c>
      <c r="V72" s="4">
        <f>F72+N72+P72+R72+T72</f>
        <v/>
      </c>
      <c r="W72" s="5">
        <f>M72+O72+Q72+S72+U72</f>
        <v/>
      </c>
    </row>
    <row r="73">
      <c r="A73" t="inlineStr">
        <is>
          <t>Fallon</t>
        </is>
      </c>
      <c r="B73" t="inlineStr">
        <is>
          <t>Quality Control Inspector</t>
        </is>
      </c>
      <c r="C73" t="inlineStr">
        <is>
          <t>Non-SCA</t>
        </is>
      </c>
      <c r="D73" t="inlineStr">
        <is>
          <t>Exempt</t>
        </is>
      </c>
      <c r="E73" s="5" t="n">
        <v>80</v>
      </c>
      <c r="F73" s="4" t="n">
        <v>9560</v>
      </c>
      <c r="G73" s="5">
        <f>E73*F73</f>
        <v/>
      </c>
      <c r="H73" s="5">
        <f>G73*0.35</f>
        <v/>
      </c>
      <c r="I73" s="5">
        <f>(G73+H73)*0.05</f>
        <v/>
      </c>
      <c r="J73" s="5">
        <f>(G73+H73+I73)*0.03</f>
        <v/>
      </c>
      <c r="K73" s="5">
        <f>G73+H73+I73+J73</f>
        <v/>
      </c>
      <c r="L73" s="5">
        <f>K73*0.08</f>
        <v/>
      </c>
      <c r="M73" s="5">
        <f>K73+L73</f>
        <v/>
      </c>
      <c r="N73" s="4" t="n">
        <v>1912</v>
      </c>
      <c r="O73" s="5">
        <f>(E73*N73)*1.35*1.05*1.03*1.08</f>
        <v/>
      </c>
      <c r="P73" s="4" t="n">
        <v>1912</v>
      </c>
      <c r="Q73" s="5">
        <f>(E73*P73)*1.35*1.05*1.03*1.08</f>
        <v/>
      </c>
      <c r="R73" s="4" t="n">
        <v>1912</v>
      </c>
      <c r="S73" s="5">
        <f>(E73*R73)*1.35*1.05*1.03*1.08</f>
        <v/>
      </c>
      <c r="T73" s="4" t="n">
        <v>1912</v>
      </c>
      <c r="U73" s="5">
        <f>(E73*T73)*1.35*1.05*1.03*1.08</f>
        <v/>
      </c>
      <c r="V73" s="4">
        <f>F73+N73+P73+R73+T73</f>
        <v/>
      </c>
      <c r="W73" s="5">
        <f>M73+O73+Q73+S73+U73</f>
        <v/>
      </c>
    </row>
    <row r="74">
      <c r="A74" t="inlineStr">
        <is>
          <t>Hefti</t>
        </is>
      </c>
      <c r="B74" t="inlineStr">
        <is>
          <t>Mission Coordinator</t>
        </is>
      </c>
      <c r="C74" t="inlineStr">
        <is>
          <t>Non-SCA</t>
        </is>
      </c>
      <c r="D74" t="inlineStr">
        <is>
          <t>Exempt</t>
        </is>
      </c>
      <c r="E74" s="5" t="n">
        <v>85</v>
      </c>
      <c r="F74" s="4" t="n">
        <v>267680</v>
      </c>
      <c r="G74" s="5">
        <f>E74*F74</f>
        <v/>
      </c>
      <c r="H74" s="5">
        <f>G74*0.35</f>
        <v/>
      </c>
      <c r="I74" s="5">
        <f>(G74+H74)*0.05</f>
        <v/>
      </c>
      <c r="J74" s="5">
        <f>(G74+H74+I74)*0.03</f>
        <v/>
      </c>
      <c r="K74" s="5">
        <f>G74+H74+I74+J74</f>
        <v/>
      </c>
      <c r="L74" s="5">
        <f>K74*0.08</f>
        <v/>
      </c>
      <c r="M74" s="5">
        <f>K74+L74</f>
        <v/>
      </c>
      <c r="N74" s="4" t="n">
        <v>53536</v>
      </c>
      <c r="O74" s="5">
        <f>(E74*N74)*1.35*1.05*1.03*1.08</f>
        <v/>
      </c>
      <c r="P74" s="4" t="n">
        <v>53536</v>
      </c>
      <c r="Q74" s="5">
        <f>(E74*P74)*1.35*1.05*1.03*1.08</f>
        <v/>
      </c>
      <c r="R74" s="4" t="n">
        <v>53536</v>
      </c>
      <c r="S74" s="5">
        <f>(E74*R74)*1.35*1.05*1.03*1.08</f>
        <v/>
      </c>
      <c r="T74" s="4" t="n">
        <v>53536</v>
      </c>
      <c r="U74" s="5">
        <f>(E74*T74)*1.35*1.05*1.03*1.08</f>
        <v/>
      </c>
      <c r="V74" s="4">
        <f>F74+N74+P74+R74+T74</f>
        <v/>
      </c>
      <c r="W74" s="5">
        <f>M74+O74+Q74+S74+U74</f>
        <v/>
      </c>
    </row>
    <row r="75">
      <c r="A75" t="inlineStr">
        <is>
          <t>Hefti</t>
        </is>
      </c>
      <c r="B75" t="inlineStr">
        <is>
          <t>Mission Coordinator, Senior</t>
        </is>
      </c>
      <c r="C75" t="inlineStr">
        <is>
          <t>Non-SCA</t>
        </is>
      </c>
      <c r="D75" t="inlineStr">
        <is>
          <t>Exempt</t>
        </is>
      </c>
      <c r="E75" s="5" t="n">
        <v>95</v>
      </c>
      <c r="F75" s="4" t="n">
        <v>66920</v>
      </c>
      <c r="G75" s="5">
        <f>E75*F75</f>
        <v/>
      </c>
      <c r="H75" s="5">
        <f>G75*0.35</f>
        <v/>
      </c>
      <c r="I75" s="5">
        <f>(G75+H75)*0.05</f>
        <v/>
      </c>
      <c r="J75" s="5">
        <f>(G75+H75+I75)*0.03</f>
        <v/>
      </c>
      <c r="K75" s="5">
        <f>G75+H75+I75+J75</f>
        <v/>
      </c>
      <c r="L75" s="5">
        <f>K75*0.08</f>
        <v/>
      </c>
      <c r="M75" s="5">
        <f>K75+L75</f>
        <v/>
      </c>
      <c r="N75" s="4" t="n">
        <v>13384</v>
      </c>
      <c r="O75" s="5">
        <f>(E75*N75)*1.35*1.05*1.03*1.08</f>
        <v/>
      </c>
      <c r="P75" s="4" t="n">
        <v>13384</v>
      </c>
      <c r="Q75" s="5">
        <f>(E75*P75)*1.35*1.05*1.03*1.08</f>
        <v/>
      </c>
      <c r="R75" s="4" t="n">
        <v>13384</v>
      </c>
      <c r="S75" s="5">
        <f>(E75*R75)*1.35*1.05*1.03*1.08</f>
        <v/>
      </c>
      <c r="T75" s="4" t="n">
        <v>13384</v>
      </c>
      <c r="U75" s="5">
        <f>(E75*T75)*1.35*1.05*1.03*1.08</f>
        <v/>
      </c>
      <c r="V75" s="4">
        <f>F75+N75+P75+R75+T75</f>
        <v/>
      </c>
      <c r="W75" s="5">
        <f>M75+O75+Q75+S75+U75</f>
        <v/>
      </c>
    </row>
    <row r="76">
      <c r="A76" t="inlineStr">
        <is>
          <t>Hefti</t>
        </is>
      </c>
      <c r="B76" t="inlineStr">
        <is>
          <t>Network Administrator III</t>
        </is>
      </c>
      <c r="C76" t="inlineStr">
        <is>
          <t>Non-SCA</t>
        </is>
      </c>
      <c r="D76" t="inlineStr">
        <is>
          <t>Exempt</t>
        </is>
      </c>
      <c r="E76" s="5" t="n">
        <v>80</v>
      </c>
      <c r="F76" s="4" t="n">
        <v>9560</v>
      </c>
      <c r="G76" s="5">
        <f>E76*F76</f>
        <v/>
      </c>
      <c r="H76" s="5">
        <f>G76*0.35</f>
        <v/>
      </c>
      <c r="I76" s="5">
        <f>(G76+H76)*0.05</f>
        <v/>
      </c>
      <c r="J76" s="5">
        <f>(G76+H76+I76)*0.03</f>
        <v/>
      </c>
      <c r="K76" s="5">
        <f>G76+H76+I76+J76</f>
        <v/>
      </c>
      <c r="L76" s="5">
        <f>K76*0.08</f>
        <v/>
      </c>
      <c r="M76" s="5">
        <f>K76+L76</f>
        <v/>
      </c>
      <c r="N76" s="4" t="n">
        <v>1912</v>
      </c>
      <c r="O76" s="5">
        <f>(E76*N76)*1.35*1.05*1.03*1.08</f>
        <v/>
      </c>
      <c r="P76" s="4" t="n">
        <v>1912</v>
      </c>
      <c r="Q76" s="5">
        <f>(E76*P76)*1.35*1.05*1.03*1.08</f>
        <v/>
      </c>
      <c r="R76" s="4" t="n">
        <v>1912</v>
      </c>
      <c r="S76" s="5">
        <f>(E76*R76)*1.35*1.05*1.03*1.08</f>
        <v/>
      </c>
      <c r="T76" s="4" t="n">
        <v>1912</v>
      </c>
      <c r="U76" s="5">
        <f>(E76*T76)*1.35*1.05*1.03*1.08</f>
        <v/>
      </c>
      <c r="V76" s="4">
        <f>F76+N76+P76+R76+T76</f>
        <v/>
      </c>
      <c r="W76" s="5">
        <f>M76+O76+Q76+S76+U76</f>
        <v/>
      </c>
    </row>
    <row r="77">
      <c r="A77" t="inlineStr">
        <is>
          <t>Hefti</t>
        </is>
      </c>
      <c r="B77" t="inlineStr">
        <is>
          <t>Network Administrator IV</t>
        </is>
      </c>
      <c r="C77" t="inlineStr">
        <is>
          <t>Non-SCA</t>
        </is>
      </c>
      <c r="D77" t="inlineStr">
        <is>
          <t>Exempt</t>
        </is>
      </c>
      <c r="E77" s="5" t="n">
        <v>80</v>
      </c>
      <c r="F77" s="4" t="n">
        <v>411080</v>
      </c>
      <c r="G77" s="5">
        <f>E77*F77</f>
        <v/>
      </c>
      <c r="H77" s="5">
        <f>G77*0.35</f>
        <v/>
      </c>
      <c r="I77" s="5">
        <f>(G77+H77)*0.05</f>
        <v/>
      </c>
      <c r="J77" s="5">
        <f>(G77+H77+I77)*0.03</f>
        <v/>
      </c>
      <c r="K77" s="5">
        <f>G77+H77+I77+J77</f>
        <v/>
      </c>
      <c r="L77" s="5">
        <f>K77*0.08</f>
        <v/>
      </c>
      <c r="M77" s="5">
        <f>K77+L77</f>
        <v/>
      </c>
      <c r="N77" s="4" t="n">
        <v>82216</v>
      </c>
      <c r="O77" s="5">
        <f>(E77*N77)*1.35*1.05*1.03*1.08</f>
        <v/>
      </c>
      <c r="P77" s="4" t="n">
        <v>82216</v>
      </c>
      <c r="Q77" s="5">
        <f>(E77*P77)*1.35*1.05*1.03*1.08</f>
        <v/>
      </c>
      <c r="R77" s="4" t="n">
        <v>82216</v>
      </c>
      <c r="S77" s="5">
        <f>(E77*R77)*1.35*1.05*1.03*1.08</f>
        <v/>
      </c>
      <c r="T77" s="4" t="n">
        <v>82216</v>
      </c>
      <c r="U77" s="5">
        <f>(E77*T77)*1.35*1.05*1.03*1.08</f>
        <v/>
      </c>
      <c r="V77" s="4">
        <f>F77+N77+P77+R77+T77</f>
        <v/>
      </c>
      <c r="W77" s="5">
        <f>M77+O77+Q77+S77+U77</f>
        <v/>
      </c>
    </row>
    <row r="78">
      <c r="A78" t="inlineStr">
        <is>
          <t>Hefti</t>
        </is>
      </c>
      <c r="B78" t="inlineStr">
        <is>
          <t>Network Administrator V</t>
        </is>
      </c>
      <c r="C78" t="inlineStr">
        <is>
          <t>Non-SCA</t>
        </is>
      </c>
      <c r="D78" t="inlineStr">
        <is>
          <t>Exempt</t>
        </is>
      </c>
      <c r="E78" s="5" t="n">
        <v>80</v>
      </c>
      <c r="F78" s="4" t="n">
        <v>19120</v>
      </c>
      <c r="G78" s="5">
        <f>E78*F78</f>
        <v/>
      </c>
      <c r="H78" s="5">
        <f>G78*0.35</f>
        <v/>
      </c>
      <c r="I78" s="5">
        <f>(G78+H78)*0.05</f>
        <v/>
      </c>
      <c r="J78" s="5">
        <f>(G78+H78+I78)*0.03</f>
        <v/>
      </c>
      <c r="K78" s="5">
        <f>G78+H78+I78+J78</f>
        <v/>
      </c>
      <c r="L78" s="5">
        <f>K78*0.08</f>
        <v/>
      </c>
      <c r="M78" s="5">
        <f>K78+L78</f>
        <v/>
      </c>
      <c r="N78" s="4" t="n">
        <v>3824</v>
      </c>
      <c r="O78" s="5">
        <f>(E78*N78)*1.35*1.05*1.03*1.08</f>
        <v/>
      </c>
      <c r="P78" s="4" t="n">
        <v>3824</v>
      </c>
      <c r="Q78" s="5">
        <f>(E78*P78)*1.35*1.05*1.03*1.08</f>
        <v/>
      </c>
      <c r="R78" s="4" t="n">
        <v>3824</v>
      </c>
      <c r="S78" s="5">
        <f>(E78*R78)*1.35*1.05*1.03*1.08</f>
        <v/>
      </c>
      <c r="T78" s="4" t="n">
        <v>3824</v>
      </c>
      <c r="U78" s="5">
        <f>(E78*T78)*1.35*1.05*1.03*1.08</f>
        <v/>
      </c>
      <c r="V78" s="4">
        <f>F78+N78+P78+R78+T78</f>
        <v/>
      </c>
      <c r="W78" s="5">
        <f>M78+O78+Q78+S78+U78</f>
        <v/>
      </c>
    </row>
    <row r="79">
      <c r="A79" t="inlineStr">
        <is>
          <t>Hefti</t>
        </is>
      </c>
      <c r="B79" t="inlineStr">
        <is>
          <t>Computer Operator IV</t>
        </is>
      </c>
      <c r="C79" t="inlineStr">
        <is>
          <t>SCA</t>
        </is>
      </c>
      <c r="D79" t="inlineStr">
        <is>
          <t>SCLS</t>
        </is>
      </c>
      <c r="E79" s="5" t="n">
        <v>80</v>
      </c>
      <c r="F79" s="4" t="n">
        <v>57360</v>
      </c>
      <c r="G79" s="5">
        <f>E79*F79</f>
        <v/>
      </c>
      <c r="H79" s="5">
        <f>G79*0.35</f>
        <v/>
      </c>
      <c r="I79" s="5">
        <f>(G79+H79)*0.05</f>
        <v/>
      </c>
      <c r="J79" s="5">
        <f>(G79+H79+I79)*0.03</f>
        <v/>
      </c>
      <c r="K79" s="5">
        <f>G79+H79+I79+J79</f>
        <v/>
      </c>
      <c r="L79" s="5">
        <f>K79*0.08</f>
        <v/>
      </c>
      <c r="M79" s="5">
        <f>K79+L79</f>
        <v/>
      </c>
      <c r="N79" s="4" t="n">
        <v>11472</v>
      </c>
      <c r="O79" s="5">
        <f>(E79*N79)*1.35*1.05*1.03*1.08</f>
        <v/>
      </c>
      <c r="P79" s="4" t="n">
        <v>11472</v>
      </c>
      <c r="Q79" s="5">
        <f>(E79*P79)*1.35*1.05*1.03*1.08</f>
        <v/>
      </c>
      <c r="R79" s="4" t="n">
        <v>11472</v>
      </c>
      <c r="S79" s="5">
        <f>(E79*R79)*1.35*1.05*1.03*1.08</f>
        <v/>
      </c>
      <c r="T79" s="4" t="n">
        <v>11472</v>
      </c>
      <c r="U79" s="5">
        <f>(E79*T79)*1.35*1.05*1.03*1.08</f>
        <v/>
      </c>
      <c r="V79" s="4">
        <f>F79+N79+P79+R79+T79</f>
        <v/>
      </c>
      <c r="W79" s="5">
        <f>M79+O79+Q79+S79+U79</f>
        <v/>
      </c>
    </row>
    <row r="80">
      <c r="A80" t="inlineStr">
        <is>
          <t>Hefti</t>
        </is>
      </c>
      <c r="B80" t="inlineStr">
        <is>
          <t>Tactical Data Link Analyst</t>
        </is>
      </c>
      <c r="C80" t="inlineStr">
        <is>
          <t>Non-SCA</t>
        </is>
      </c>
      <c r="D80" t="inlineStr">
        <is>
          <t>Exempt</t>
        </is>
      </c>
      <c r="E80" s="5" t="n">
        <v>75</v>
      </c>
      <c r="F80" s="4" t="n">
        <v>133840</v>
      </c>
      <c r="G80" s="5">
        <f>E80*F80</f>
        <v/>
      </c>
      <c r="H80" s="5">
        <f>G80*0.35</f>
        <v/>
      </c>
      <c r="I80" s="5">
        <f>(G80+H80)*0.05</f>
        <v/>
      </c>
      <c r="J80" s="5">
        <f>(G80+H80+I80)*0.03</f>
        <v/>
      </c>
      <c r="K80" s="5">
        <f>G80+H80+I80+J80</f>
        <v/>
      </c>
      <c r="L80" s="5">
        <f>K80*0.08</f>
        <v/>
      </c>
      <c r="M80" s="5">
        <f>K80+L80</f>
        <v/>
      </c>
      <c r="N80" s="4" t="n">
        <v>26768</v>
      </c>
      <c r="O80" s="5">
        <f>(E80*N80)*1.35*1.05*1.03*1.08</f>
        <v/>
      </c>
      <c r="P80" s="4" t="n">
        <v>26768</v>
      </c>
      <c r="Q80" s="5">
        <f>(E80*P80)*1.35*1.05*1.03*1.08</f>
        <v/>
      </c>
      <c r="R80" s="4" t="n">
        <v>26768</v>
      </c>
      <c r="S80" s="5">
        <f>(E80*R80)*1.35*1.05*1.03*1.08</f>
        <v/>
      </c>
      <c r="T80" s="4" t="n">
        <v>26768</v>
      </c>
      <c r="U80" s="5">
        <f>(E80*T80)*1.35*1.05*1.03*1.08</f>
        <v/>
      </c>
      <c r="V80" s="4">
        <f>F80+N80+P80+R80+T80</f>
        <v/>
      </c>
      <c r="W80" s="5">
        <f>M80+O80+Q80+S80+U80</f>
        <v/>
      </c>
    </row>
    <row r="81">
      <c r="A81" t="inlineStr">
        <is>
          <t>Hefti</t>
        </is>
      </c>
      <c r="B81" t="inlineStr">
        <is>
          <t>Electronics Technician II</t>
        </is>
      </c>
      <c r="C81" t="inlineStr">
        <is>
          <t>Non-SCA</t>
        </is>
      </c>
      <c r="D81" t="inlineStr">
        <is>
          <t>CBA</t>
        </is>
      </c>
      <c r="E81" s="5" t="n">
        <v>80</v>
      </c>
      <c r="F81" s="4" t="n">
        <v>66920</v>
      </c>
      <c r="G81" s="5">
        <f>E81*F81</f>
        <v/>
      </c>
      <c r="H81" s="5">
        <f>G81*0.35</f>
        <v/>
      </c>
      <c r="I81" s="5">
        <f>(G81+H81)*0.05</f>
        <v/>
      </c>
      <c r="J81" s="5">
        <f>(G81+H81+I81)*0.03</f>
        <v/>
      </c>
      <c r="K81" s="5">
        <f>G81+H81+I81+J81</f>
        <v/>
      </c>
      <c r="L81" s="5">
        <f>K81*0.08</f>
        <v/>
      </c>
      <c r="M81" s="5">
        <f>K81+L81</f>
        <v/>
      </c>
      <c r="N81" s="4" t="n">
        <v>13384</v>
      </c>
      <c r="O81" s="5">
        <f>(E81*N81)*1.35*1.05*1.03*1.08</f>
        <v/>
      </c>
      <c r="P81" s="4" t="n">
        <v>13384</v>
      </c>
      <c r="Q81" s="5">
        <f>(E81*P81)*1.35*1.05*1.03*1.08</f>
        <v/>
      </c>
      <c r="R81" s="4" t="n">
        <v>13384</v>
      </c>
      <c r="S81" s="5">
        <f>(E81*R81)*1.35*1.05*1.03*1.08</f>
        <v/>
      </c>
      <c r="T81" s="4" t="n">
        <v>13384</v>
      </c>
      <c r="U81" s="5">
        <f>(E81*T81)*1.35*1.05*1.03*1.08</f>
        <v/>
      </c>
      <c r="V81" s="4">
        <f>F81+N81+P81+R81+T81</f>
        <v/>
      </c>
      <c r="W81" s="5">
        <f>M81+O81+Q81+S81+U81</f>
        <v/>
      </c>
    </row>
    <row r="82">
      <c r="A82" t="inlineStr">
        <is>
          <t>Hefti</t>
        </is>
      </c>
      <c r="B82" t="inlineStr">
        <is>
          <t>Engineering Technician IV</t>
        </is>
      </c>
      <c r="C82" t="inlineStr">
        <is>
          <t>SCA</t>
        </is>
      </c>
      <c r="D82" t="inlineStr">
        <is>
          <t>SCLS</t>
        </is>
      </c>
      <c r="E82" s="5" t="n">
        <v>80</v>
      </c>
      <c r="F82" s="4" t="n">
        <v>353720</v>
      </c>
      <c r="G82" s="5">
        <f>E82*F82</f>
        <v/>
      </c>
      <c r="H82" s="5">
        <f>G82*0.35</f>
        <v/>
      </c>
      <c r="I82" s="5">
        <f>(G82+H82)*0.05</f>
        <v/>
      </c>
      <c r="J82" s="5">
        <f>(G82+H82+I82)*0.03</f>
        <v/>
      </c>
      <c r="K82" s="5">
        <f>G82+H82+I82+J82</f>
        <v/>
      </c>
      <c r="L82" s="5">
        <f>K82*0.08</f>
        <v/>
      </c>
      <c r="M82" s="5">
        <f>K82+L82</f>
        <v/>
      </c>
      <c r="N82" s="4" t="n">
        <v>70744</v>
      </c>
      <c r="O82" s="5">
        <f>(E82*N82)*1.35*1.05*1.03*1.08</f>
        <v/>
      </c>
      <c r="P82" s="4" t="n">
        <v>70744</v>
      </c>
      <c r="Q82" s="5">
        <f>(E82*P82)*1.35*1.05*1.03*1.08</f>
        <v/>
      </c>
      <c r="R82" s="4" t="n">
        <v>70744</v>
      </c>
      <c r="S82" s="5">
        <f>(E82*R82)*1.35*1.05*1.03*1.08</f>
        <v/>
      </c>
      <c r="T82" s="4" t="n">
        <v>70744</v>
      </c>
      <c r="U82" s="5">
        <f>(E82*T82)*1.35*1.05*1.03*1.08</f>
        <v/>
      </c>
      <c r="V82" s="4">
        <f>F82+N82+P82+R82+T82</f>
        <v/>
      </c>
      <c r="W82" s="5">
        <f>M82+O82+Q82+S82+U82</f>
        <v/>
      </c>
    </row>
    <row r="83">
      <c r="A83" t="inlineStr">
        <is>
          <t>Hefti</t>
        </is>
      </c>
      <c r="B83" t="inlineStr">
        <is>
          <t>Engineering Technician V</t>
        </is>
      </c>
      <c r="C83" t="inlineStr">
        <is>
          <t>SCA</t>
        </is>
      </c>
      <c r="D83" t="inlineStr">
        <is>
          <t>SCLS</t>
        </is>
      </c>
      <c r="E83" s="5" t="n">
        <v>80</v>
      </c>
      <c r="F83" s="4" t="n">
        <v>181640</v>
      </c>
      <c r="G83" s="5">
        <f>E83*F83</f>
        <v/>
      </c>
      <c r="H83" s="5">
        <f>G83*0.35</f>
        <v/>
      </c>
      <c r="I83" s="5">
        <f>(G83+H83)*0.05</f>
        <v/>
      </c>
      <c r="J83" s="5">
        <f>(G83+H83+I83)*0.03</f>
        <v/>
      </c>
      <c r="K83" s="5">
        <f>G83+H83+I83+J83</f>
        <v/>
      </c>
      <c r="L83" s="5">
        <f>K83*0.08</f>
        <v/>
      </c>
      <c r="M83" s="5">
        <f>K83+L83</f>
        <v/>
      </c>
      <c r="N83" s="4" t="n">
        <v>36328</v>
      </c>
      <c r="O83" s="5">
        <f>(E83*N83)*1.35*1.05*1.03*1.08</f>
        <v/>
      </c>
      <c r="P83" s="4" t="n">
        <v>36328</v>
      </c>
      <c r="Q83" s="5">
        <f>(E83*P83)*1.35*1.05*1.03*1.08</f>
        <v/>
      </c>
      <c r="R83" s="4" t="n">
        <v>36328</v>
      </c>
      <c r="S83" s="5">
        <f>(E83*R83)*1.35*1.05*1.03*1.08</f>
        <v/>
      </c>
      <c r="T83" s="4" t="n">
        <v>36328</v>
      </c>
      <c r="U83" s="5">
        <f>(E83*T83)*1.35*1.05*1.03*1.08</f>
        <v/>
      </c>
      <c r="V83" s="4">
        <f>F83+N83+P83+R83+T83</f>
        <v/>
      </c>
      <c r="W83" s="5">
        <f>M83+O83+Q83+S83+U83</f>
        <v/>
      </c>
    </row>
    <row r="84">
      <c r="A84" t="inlineStr">
        <is>
          <t>Hefti</t>
        </is>
      </c>
      <c r="B84" t="inlineStr">
        <is>
          <t>Maintenance Coordinator</t>
        </is>
      </c>
      <c r="C84" t="inlineStr">
        <is>
          <t>Non-SCA</t>
        </is>
      </c>
      <c r="D84" t="inlineStr">
        <is>
          <t>Exempt</t>
        </is>
      </c>
      <c r="E84" s="5" t="n">
        <v>80</v>
      </c>
      <c r="F84" s="4" t="n">
        <v>28680</v>
      </c>
      <c r="G84" s="5">
        <f>E84*F84</f>
        <v/>
      </c>
      <c r="H84" s="5">
        <f>G84*0.35</f>
        <v/>
      </c>
      <c r="I84" s="5">
        <f>(G84+H84)*0.05</f>
        <v/>
      </c>
      <c r="J84" s="5">
        <f>(G84+H84+I84)*0.03</f>
        <v/>
      </c>
      <c r="K84" s="5">
        <f>G84+H84+I84+J84</f>
        <v/>
      </c>
      <c r="L84" s="5">
        <f>K84*0.08</f>
        <v/>
      </c>
      <c r="M84" s="5">
        <f>K84+L84</f>
        <v/>
      </c>
      <c r="N84" s="4" t="n">
        <v>5736</v>
      </c>
      <c r="O84" s="5">
        <f>(E84*N84)*1.35*1.05*1.03*1.08</f>
        <v/>
      </c>
      <c r="P84" s="4" t="n">
        <v>5736</v>
      </c>
      <c r="Q84" s="5">
        <f>(E84*P84)*1.35*1.05*1.03*1.08</f>
        <v/>
      </c>
      <c r="R84" s="4" t="n">
        <v>5736</v>
      </c>
      <c r="S84" s="5">
        <f>(E84*R84)*1.35*1.05*1.03*1.08</f>
        <v/>
      </c>
      <c r="T84" s="4" t="n">
        <v>5736</v>
      </c>
      <c r="U84" s="5">
        <f>(E84*T84)*1.35*1.05*1.03*1.08</f>
        <v/>
      </c>
      <c r="V84" s="4">
        <f>F84+N84+P84+R84+T84</f>
        <v/>
      </c>
      <c r="W84" s="5">
        <f>M84+O84+Q84+S84+U84</f>
        <v/>
      </c>
    </row>
    <row r="85">
      <c r="A85" t="inlineStr">
        <is>
          <t>Hefti</t>
        </is>
      </c>
      <c r="B85" t="inlineStr">
        <is>
          <t>Security Coordinator</t>
        </is>
      </c>
      <c r="C85" t="inlineStr">
        <is>
          <t>Non-SCA</t>
        </is>
      </c>
      <c r="D85" t="inlineStr">
        <is>
          <t>Exempt</t>
        </is>
      </c>
      <c r="E85" s="5" t="n">
        <v>70</v>
      </c>
      <c r="F85" s="4" t="n">
        <v>76480</v>
      </c>
      <c r="G85" s="5">
        <f>E85*F85</f>
        <v/>
      </c>
      <c r="H85" s="5">
        <f>G85*0.35</f>
        <v/>
      </c>
      <c r="I85" s="5">
        <f>(G85+H85)*0.05</f>
        <v/>
      </c>
      <c r="J85" s="5">
        <f>(G85+H85+I85)*0.03</f>
        <v/>
      </c>
      <c r="K85" s="5">
        <f>G85+H85+I85+J85</f>
        <v/>
      </c>
      <c r="L85" s="5">
        <f>K85*0.08</f>
        <v/>
      </c>
      <c r="M85" s="5">
        <f>K85+L85</f>
        <v/>
      </c>
      <c r="N85" s="4" t="n">
        <v>15296</v>
      </c>
      <c r="O85" s="5">
        <f>(E85*N85)*1.35*1.05*1.03*1.08</f>
        <v/>
      </c>
      <c r="P85" s="4" t="n">
        <v>15296</v>
      </c>
      <c r="Q85" s="5">
        <f>(E85*P85)*1.35*1.05*1.03*1.08</f>
        <v/>
      </c>
      <c r="R85" s="4" t="n">
        <v>15296</v>
      </c>
      <c r="S85" s="5">
        <f>(E85*R85)*1.35*1.05*1.03*1.08</f>
        <v/>
      </c>
      <c r="T85" s="4" t="n">
        <v>15296</v>
      </c>
      <c r="U85" s="5">
        <f>(E85*T85)*1.35*1.05*1.03*1.08</f>
        <v/>
      </c>
      <c r="V85" s="4">
        <f>F85+N85+P85+R85+T85</f>
        <v/>
      </c>
      <c r="W85" s="5">
        <f>M85+O85+Q85+S85+U85</f>
        <v/>
      </c>
    </row>
    <row r="86">
      <c r="A86" t="inlineStr">
        <is>
          <t>JAX</t>
        </is>
      </c>
      <c r="B86" t="inlineStr">
        <is>
          <t>Site Manager</t>
        </is>
      </c>
      <c r="C86" t="inlineStr">
        <is>
          <t>Non-SCA</t>
        </is>
      </c>
      <c r="D86" t="inlineStr">
        <is>
          <t>Exempt</t>
        </is>
      </c>
      <c r="E86" s="5" t="n">
        <v>95</v>
      </c>
      <c r="F86" s="4" t="n">
        <v>9560</v>
      </c>
      <c r="G86" s="5">
        <f>E86*F86</f>
        <v/>
      </c>
      <c r="H86" s="5">
        <f>G86*0.35</f>
        <v/>
      </c>
      <c r="I86" s="5">
        <f>(G86+H86)*0.05</f>
        <v/>
      </c>
      <c r="J86" s="5">
        <f>(G86+H86+I86)*0.03</f>
        <v/>
      </c>
      <c r="K86" s="5">
        <f>G86+H86+I86+J86</f>
        <v/>
      </c>
      <c r="L86" s="5">
        <f>K86*0.08</f>
        <v/>
      </c>
      <c r="M86" s="5">
        <f>K86+L86</f>
        <v/>
      </c>
      <c r="N86" s="4" t="n">
        <v>1912</v>
      </c>
      <c r="O86" s="5">
        <f>(E86*N86)*1.35*1.05*1.03*1.08</f>
        <v/>
      </c>
      <c r="P86" s="4" t="n">
        <v>1912</v>
      </c>
      <c r="Q86" s="5">
        <f>(E86*P86)*1.35*1.05*1.03*1.08</f>
        <v/>
      </c>
      <c r="R86" s="4" t="n">
        <v>1912</v>
      </c>
      <c r="S86" s="5">
        <f>(E86*R86)*1.35*1.05*1.03*1.08</f>
        <v/>
      </c>
      <c r="T86" s="4" t="n">
        <v>1912</v>
      </c>
      <c r="U86" s="5">
        <f>(E86*T86)*1.35*1.05*1.03*1.08</f>
        <v/>
      </c>
      <c r="V86" s="4">
        <f>F86+N86+P86+R86+T86</f>
        <v/>
      </c>
      <c r="W86" s="5">
        <f>M86+O86+Q86+S86+U86</f>
        <v/>
      </c>
    </row>
    <row r="87">
      <c r="A87" t="inlineStr">
        <is>
          <t>JAX</t>
        </is>
      </c>
      <c r="B87" t="inlineStr">
        <is>
          <t>Mission Coordinator</t>
        </is>
      </c>
      <c r="C87" t="inlineStr">
        <is>
          <t>Non-SCA</t>
        </is>
      </c>
      <c r="D87" t="inlineStr">
        <is>
          <t>Exempt</t>
        </is>
      </c>
      <c r="E87" s="5" t="n">
        <v>85</v>
      </c>
      <c r="F87" s="4" t="n">
        <v>9560</v>
      </c>
      <c r="G87" s="5">
        <f>E87*F87</f>
        <v/>
      </c>
      <c r="H87" s="5">
        <f>G87*0.35</f>
        <v/>
      </c>
      <c r="I87" s="5">
        <f>(G87+H87)*0.05</f>
        <v/>
      </c>
      <c r="J87" s="5">
        <f>(G87+H87+I87)*0.03</f>
        <v/>
      </c>
      <c r="K87" s="5">
        <f>G87+H87+I87+J87</f>
        <v/>
      </c>
      <c r="L87" s="5">
        <f>K87*0.08</f>
        <v/>
      </c>
      <c r="M87" s="5">
        <f>K87+L87</f>
        <v/>
      </c>
      <c r="N87" s="4" t="n">
        <v>1912</v>
      </c>
      <c r="O87" s="5">
        <f>(E87*N87)*1.35*1.05*1.03*1.08</f>
        <v/>
      </c>
      <c r="P87" s="4" t="n">
        <v>1912</v>
      </c>
      <c r="Q87" s="5">
        <f>(E87*P87)*1.35*1.05*1.03*1.08</f>
        <v/>
      </c>
      <c r="R87" s="4" t="n">
        <v>1912</v>
      </c>
      <c r="S87" s="5">
        <f>(E87*R87)*1.35*1.05*1.03*1.08</f>
        <v/>
      </c>
      <c r="T87" s="4" t="n">
        <v>1912</v>
      </c>
      <c r="U87" s="5">
        <f>(E87*T87)*1.35*1.05*1.03*1.08</f>
        <v/>
      </c>
      <c r="V87" s="4">
        <f>F87+N87+P87+R87+T87</f>
        <v/>
      </c>
      <c r="W87" s="5">
        <f>M87+O87+Q87+S87+U87</f>
        <v/>
      </c>
    </row>
    <row r="88">
      <c r="A88" t="inlineStr">
        <is>
          <t>JAX</t>
        </is>
      </c>
      <c r="B88" t="inlineStr">
        <is>
          <t>Mission Coordinator, Senior</t>
        </is>
      </c>
      <c r="C88" t="inlineStr">
        <is>
          <t>Non-SCA</t>
        </is>
      </c>
      <c r="D88" t="inlineStr">
        <is>
          <t>Exempt</t>
        </is>
      </c>
      <c r="E88" s="5" t="n">
        <v>95</v>
      </c>
      <c r="F88" s="4" t="n">
        <v>9560</v>
      </c>
      <c r="G88" s="5">
        <f>E88*F88</f>
        <v/>
      </c>
      <c r="H88" s="5">
        <f>G88*0.35</f>
        <v/>
      </c>
      <c r="I88" s="5">
        <f>(G88+H88)*0.05</f>
        <v/>
      </c>
      <c r="J88" s="5">
        <f>(G88+H88+I88)*0.03</f>
        <v/>
      </c>
      <c r="K88" s="5">
        <f>G88+H88+I88+J88</f>
        <v/>
      </c>
      <c r="L88" s="5">
        <f>K88*0.08</f>
        <v/>
      </c>
      <c r="M88" s="5">
        <f>K88+L88</f>
        <v/>
      </c>
      <c r="N88" s="4" t="n">
        <v>1912</v>
      </c>
      <c r="O88" s="5">
        <f>(E88*N88)*1.35*1.05*1.03*1.08</f>
        <v/>
      </c>
      <c r="P88" s="4" t="n">
        <v>1912</v>
      </c>
      <c r="Q88" s="5">
        <f>(E88*P88)*1.35*1.05*1.03*1.08</f>
        <v/>
      </c>
      <c r="R88" s="4" t="n">
        <v>1912</v>
      </c>
      <c r="S88" s="5">
        <f>(E88*R88)*1.35*1.05*1.03*1.08</f>
        <v/>
      </c>
      <c r="T88" s="4" t="n">
        <v>1912</v>
      </c>
      <c r="U88" s="5">
        <f>(E88*T88)*1.35*1.05*1.03*1.08</f>
        <v/>
      </c>
      <c r="V88" s="4">
        <f>F88+N88+P88+R88+T88</f>
        <v/>
      </c>
      <c r="W88" s="5">
        <f>M88+O88+Q88+S88+U88</f>
        <v/>
      </c>
    </row>
    <row r="89">
      <c r="A89" t="inlineStr">
        <is>
          <t>JAX</t>
        </is>
      </c>
      <c r="B89" t="inlineStr">
        <is>
          <t>Operations Analyst</t>
        </is>
      </c>
      <c r="C89" t="inlineStr">
        <is>
          <t>Non-SCA</t>
        </is>
      </c>
      <c r="D89" t="inlineStr">
        <is>
          <t>Exempt</t>
        </is>
      </c>
      <c r="E89" s="5" t="n">
        <v>80</v>
      </c>
      <c r="F89" s="4" t="n">
        <v>19120</v>
      </c>
      <c r="G89" s="5">
        <f>E89*F89</f>
        <v/>
      </c>
      <c r="H89" s="5">
        <f>G89*0.35</f>
        <v/>
      </c>
      <c r="I89" s="5">
        <f>(G89+H89)*0.05</f>
        <v/>
      </c>
      <c r="J89" s="5">
        <f>(G89+H89+I89)*0.03</f>
        <v/>
      </c>
      <c r="K89" s="5">
        <f>G89+H89+I89+J89</f>
        <v/>
      </c>
      <c r="L89" s="5">
        <f>K89*0.08</f>
        <v/>
      </c>
      <c r="M89" s="5">
        <f>K89+L89</f>
        <v/>
      </c>
      <c r="N89" s="4" t="n">
        <v>3824</v>
      </c>
      <c r="O89" s="5">
        <f>(E89*N89)*1.35*1.05*1.03*1.08</f>
        <v/>
      </c>
      <c r="P89" s="4" t="n">
        <v>3824</v>
      </c>
      <c r="Q89" s="5">
        <f>(E89*P89)*1.35*1.05*1.03*1.08</f>
        <v/>
      </c>
      <c r="R89" s="4" t="n">
        <v>3824</v>
      </c>
      <c r="S89" s="5">
        <f>(E89*R89)*1.35*1.05*1.03*1.08</f>
        <v/>
      </c>
      <c r="T89" s="4" t="n">
        <v>3824</v>
      </c>
      <c r="U89" s="5">
        <f>(E89*T89)*1.35*1.05*1.03*1.08</f>
        <v/>
      </c>
      <c r="V89" s="4">
        <f>F89+N89+P89+R89+T89</f>
        <v/>
      </c>
      <c r="W89" s="5">
        <f>M89+O89+Q89+S89+U89</f>
        <v/>
      </c>
    </row>
    <row r="90">
      <c r="A90" t="inlineStr">
        <is>
          <t>JAX</t>
        </is>
      </c>
      <c r="B90" t="inlineStr">
        <is>
          <t>Electronics Technician III</t>
        </is>
      </c>
      <c r="C90" t="inlineStr">
        <is>
          <t>SCA</t>
        </is>
      </c>
      <c r="D90" t="inlineStr">
        <is>
          <t>CBA</t>
        </is>
      </c>
      <c r="E90" s="5" t="n">
        <v>30.79</v>
      </c>
      <c r="F90" s="4" t="n">
        <v>38240</v>
      </c>
      <c r="G90" s="5">
        <f>E90*F90</f>
        <v/>
      </c>
      <c r="H90" s="5">
        <f>G90*0.35</f>
        <v/>
      </c>
      <c r="I90" s="5">
        <f>(G90+H90)*0.05</f>
        <v/>
      </c>
      <c r="J90" s="5">
        <f>(G90+H90+I90)*0.03</f>
        <v/>
      </c>
      <c r="K90" s="5">
        <f>G90+H90+I90+J90</f>
        <v/>
      </c>
      <c r="L90" s="5">
        <f>K90*0.08</f>
        <v/>
      </c>
      <c r="M90" s="5">
        <f>K90+L90</f>
        <v/>
      </c>
      <c r="N90" s="4" t="n">
        <v>7648</v>
      </c>
      <c r="O90" s="5">
        <f>(E90*N90)*1.35*1.05*1.03*1.08</f>
        <v/>
      </c>
      <c r="P90" s="4" t="n">
        <v>7648</v>
      </c>
      <c r="Q90" s="5">
        <f>(E90*P90)*1.35*1.05*1.03*1.08</f>
        <v/>
      </c>
      <c r="R90" s="4" t="n">
        <v>7648</v>
      </c>
      <c r="S90" s="5">
        <f>(E90*R90)*1.35*1.05*1.03*1.08</f>
        <v/>
      </c>
      <c r="T90" s="4" t="n">
        <v>7648</v>
      </c>
      <c r="U90" s="5">
        <f>(E90*T90)*1.35*1.05*1.03*1.08</f>
        <v/>
      </c>
      <c r="V90" s="4">
        <f>F90+N90+P90+R90+T90</f>
        <v/>
      </c>
      <c r="W90" s="5">
        <f>M90+O90+Q90+S90+U90</f>
        <v/>
      </c>
    </row>
    <row r="91">
      <c r="A91" t="inlineStr">
        <is>
          <t>JAX</t>
        </is>
      </c>
      <c r="B91" t="inlineStr">
        <is>
          <t>Engineering Technician IV</t>
        </is>
      </c>
      <c r="C91" t="inlineStr">
        <is>
          <t>SCA</t>
        </is>
      </c>
      <c r="D91" t="inlineStr">
        <is>
          <t>SCLS</t>
        </is>
      </c>
      <c r="E91" s="5" t="n">
        <v>27.46</v>
      </c>
      <c r="F91" s="4" t="n">
        <v>28680</v>
      </c>
      <c r="G91" s="5">
        <f>E91*F91</f>
        <v/>
      </c>
      <c r="H91" s="5">
        <f>G91*0.35</f>
        <v/>
      </c>
      <c r="I91" s="5">
        <f>(G91+H91)*0.05</f>
        <v/>
      </c>
      <c r="J91" s="5">
        <f>(G91+H91+I91)*0.03</f>
        <v/>
      </c>
      <c r="K91" s="5">
        <f>G91+H91+I91+J91</f>
        <v/>
      </c>
      <c r="L91" s="5">
        <f>K91*0.08</f>
        <v/>
      </c>
      <c r="M91" s="5">
        <f>K91+L91</f>
        <v/>
      </c>
      <c r="N91" s="4" t="n">
        <v>5736</v>
      </c>
      <c r="O91" s="5">
        <f>(E91*N91)*1.35*1.05*1.03*1.08</f>
        <v/>
      </c>
      <c r="P91" s="4" t="n">
        <v>5736</v>
      </c>
      <c r="Q91" s="5">
        <f>(E91*P91)*1.35*1.05*1.03*1.08</f>
        <v/>
      </c>
      <c r="R91" s="4" t="n">
        <v>5736</v>
      </c>
      <c r="S91" s="5">
        <f>(E91*R91)*1.35*1.05*1.03*1.08</f>
        <v/>
      </c>
      <c r="T91" s="4" t="n">
        <v>5736</v>
      </c>
      <c r="U91" s="5">
        <f>(E91*T91)*1.35*1.05*1.03*1.08</f>
        <v/>
      </c>
      <c r="V91" s="4">
        <f>F91+N91+P91+R91+T91</f>
        <v/>
      </c>
      <c r="W91" s="5">
        <f>M91+O91+Q91+S91+U91</f>
        <v/>
      </c>
    </row>
    <row r="92">
      <c r="A92" t="inlineStr">
        <is>
          <t>JAX</t>
        </is>
      </c>
      <c r="B92" t="inlineStr">
        <is>
          <t>Engineering Technician V</t>
        </is>
      </c>
      <c r="C92" t="inlineStr">
        <is>
          <t>SCA</t>
        </is>
      </c>
      <c r="D92" t="inlineStr">
        <is>
          <t>CBA</t>
        </is>
      </c>
      <c r="E92" s="5" t="n">
        <v>33.59</v>
      </c>
      <c r="F92" s="4" t="n">
        <v>57360</v>
      </c>
      <c r="G92" s="5">
        <f>E92*F92</f>
        <v/>
      </c>
      <c r="H92" s="5">
        <f>G92*0.35</f>
        <v/>
      </c>
      <c r="I92" s="5">
        <f>(G92+H92)*0.05</f>
        <v/>
      </c>
      <c r="J92" s="5">
        <f>(G92+H92+I92)*0.03</f>
        <v/>
      </c>
      <c r="K92" s="5">
        <f>G92+H92+I92+J92</f>
        <v/>
      </c>
      <c r="L92" s="5">
        <f>K92*0.08</f>
        <v/>
      </c>
      <c r="M92" s="5">
        <f>K92+L92</f>
        <v/>
      </c>
      <c r="N92" s="4" t="n">
        <v>11472</v>
      </c>
      <c r="O92" s="5">
        <f>(E92*N92)*1.35*1.05*1.03*1.08</f>
        <v/>
      </c>
      <c r="P92" s="4" t="n">
        <v>11472</v>
      </c>
      <c r="Q92" s="5">
        <f>(E92*P92)*1.35*1.05*1.03*1.08</f>
        <v/>
      </c>
      <c r="R92" s="4" t="n">
        <v>11472</v>
      </c>
      <c r="S92" s="5">
        <f>(E92*R92)*1.35*1.05*1.03*1.08</f>
        <v/>
      </c>
      <c r="T92" s="4" t="n">
        <v>11472</v>
      </c>
      <c r="U92" s="5">
        <f>(E92*T92)*1.35*1.05*1.03*1.08</f>
        <v/>
      </c>
      <c r="V92" s="4">
        <f>F92+N92+P92+R92+T92</f>
        <v/>
      </c>
      <c r="W92" s="5">
        <f>M92+O92+Q92+S92+U92</f>
        <v/>
      </c>
    </row>
    <row r="93">
      <c r="A93" t="inlineStr">
        <is>
          <t>JAX</t>
        </is>
      </c>
      <c r="B93" t="inlineStr">
        <is>
          <t>Engineering Technician VI</t>
        </is>
      </c>
      <c r="C93" t="inlineStr">
        <is>
          <t>SCA</t>
        </is>
      </c>
      <c r="D93" t="inlineStr">
        <is>
          <t>SCLS</t>
        </is>
      </c>
      <c r="E93" s="5" t="n">
        <v>40.64</v>
      </c>
      <c r="F93" s="4" t="n">
        <v>19120</v>
      </c>
      <c r="G93" s="5">
        <f>E93*F93</f>
        <v/>
      </c>
      <c r="H93" s="5">
        <f>G93*0.35</f>
        <v/>
      </c>
      <c r="I93" s="5">
        <f>(G93+H93)*0.05</f>
        <v/>
      </c>
      <c r="J93" s="5">
        <f>(G93+H93+I93)*0.03</f>
        <v/>
      </c>
      <c r="K93" s="5">
        <f>G93+H93+I93+J93</f>
        <v/>
      </c>
      <c r="L93" s="5">
        <f>K93*0.08</f>
        <v/>
      </c>
      <c r="M93" s="5">
        <f>K93+L93</f>
        <v/>
      </c>
      <c r="N93" s="4" t="n">
        <v>3824</v>
      </c>
      <c r="O93" s="5">
        <f>(E93*N93)*1.35*1.05*1.03*1.08</f>
        <v/>
      </c>
      <c r="P93" s="4" t="n">
        <v>3824</v>
      </c>
      <c r="Q93" s="5">
        <f>(E93*P93)*1.35*1.05*1.03*1.08</f>
        <v/>
      </c>
      <c r="R93" s="4" t="n">
        <v>3824</v>
      </c>
      <c r="S93" s="5">
        <f>(E93*R93)*1.35*1.05*1.03*1.08</f>
        <v/>
      </c>
      <c r="T93" s="4" t="n">
        <v>3824</v>
      </c>
      <c r="U93" s="5">
        <f>(E93*T93)*1.35*1.05*1.03*1.08</f>
        <v/>
      </c>
      <c r="V93" s="4">
        <f>F93+N93+P93+R93+T93</f>
        <v/>
      </c>
      <c r="W93" s="5">
        <f>M93+O93+Q93+S93+U93</f>
        <v/>
      </c>
    </row>
    <row r="94">
      <c r="A94" t="inlineStr">
        <is>
          <t>JAX</t>
        </is>
      </c>
      <c r="B94" t="inlineStr">
        <is>
          <t>Logistician Analyst IV</t>
        </is>
      </c>
      <c r="C94" t="inlineStr">
        <is>
          <t>Non-SCA</t>
        </is>
      </c>
      <c r="D94" t="inlineStr">
        <is>
          <t>Exempt</t>
        </is>
      </c>
      <c r="E94" s="5" t="n">
        <v>75</v>
      </c>
      <c r="F94" s="4" t="n">
        <v>9560</v>
      </c>
      <c r="G94" s="5">
        <f>E94*F94</f>
        <v/>
      </c>
      <c r="H94" s="5">
        <f>G94*0.35</f>
        <v/>
      </c>
      <c r="I94" s="5">
        <f>(G94+H94)*0.05</f>
        <v/>
      </c>
      <c r="J94" s="5">
        <f>(G94+H94+I94)*0.03</f>
        <v/>
      </c>
      <c r="K94" s="5">
        <f>G94+H94+I94+J94</f>
        <v/>
      </c>
      <c r="L94" s="5">
        <f>K94*0.08</f>
        <v/>
      </c>
      <c r="M94" s="5">
        <f>K94+L94</f>
        <v/>
      </c>
      <c r="N94" s="4" t="n">
        <v>1912</v>
      </c>
      <c r="O94" s="5">
        <f>(E94*N94)*1.35*1.05*1.03*1.08</f>
        <v/>
      </c>
      <c r="P94" s="4" t="n">
        <v>1912</v>
      </c>
      <c r="Q94" s="5">
        <f>(E94*P94)*1.35*1.05*1.03*1.08</f>
        <v/>
      </c>
      <c r="R94" s="4" t="n">
        <v>1912</v>
      </c>
      <c r="S94" s="5">
        <f>(E94*R94)*1.35*1.05*1.03*1.08</f>
        <v/>
      </c>
      <c r="T94" s="4" t="n">
        <v>1912</v>
      </c>
      <c r="U94" s="5">
        <f>(E94*T94)*1.35*1.05*1.03*1.08</f>
        <v/>
      </c>
      <c r="V94" s="4">
        <f>F94+N94+P94+R94+T94</f>
        <v/>
      </c>
      <c r="W94" s="5">
        <f>M94+O94+Q94+S94+U94</f>
        <v/>
      </c>
    </row>
    <row r="95">
      <c r="A95" t="inlineStr">
        <is>
          <t>JAX</t>
        </is>
      </c>
      <c r="B95" t="inlineStr">
        <is>
          <t>Quality Assurance/Safety Evaluator</t>
        </is>
      </c>
      <c r="C95" t="inlineStr">
        <is>
          <t>Non-SCA</t>
        </is>
      </c>
      <c r="D95" t="inlineStr">
        <is>
          <t>Exempt</t>
        </is>
      </c>
      <c r="E95" s="5" t="n">
        <v>75</v>
      </c>
      <c r="F95" s="4" t="n">
        <v>9560</v>
      </c>
      <c r="G95" s="5">
        <f>E95*F95</f>
        <v/>
      </c>
      <c r="H95" s="5">
        <f>G95*0.35</f>
        <v/>
      </c>
      <c r="I95" s="5">
        <f>(G95+H95)*0.05</f>
        <v/>
      </c>
      <c r="J95" s="5">
        <f>(G95+H95+I95)*0.03</f>
        <v/>
      </c>
      <c r="K95" s="5">
        <f>G95+H95+I95+J95</f>
        <v/>
      </c>
      <c r="L95" s="5">
        <f>K95*0.08</f>
        <v/>
      </c>
      <c r="M95" s="5">
        <f>K95+L95</f>
        <v/>
      </c>
      <c r="N95" s="4" t="n">
        <v>1912</v>
      </c>
      <c r="O95" s="5">
        <f>(E95*N95)*1.35*1.05*1.03*1.08</f>
        <v/>
      </c>
      <c r="P95" s="4" t="n">
        <v>1912</v>
      </c>
      <c r="Q95" s="5">
        <f>(E95*P95)*1.35*1.05*1.03*1.08</f>
        <v/>
      </c>
      <c r="R95" s="4" t="n">
        <v>1912</v>
      </c>
      <c r="S95" s="5">
        <f>(E95*R95)*1.35*1.05*1.03*1.08</f>
        <v/>
      </c>
      <c r="T95" s="4" t="n">
        <v>1912</v>
      </c>
      <c r="U95" s="5">
        <f>(E95*T95)*1.35*1.05*1.03*1.08</f>
        <v/>
      </c>
      <c r="V95" s="4">
        <f>F95+N95+P95+R95+T95</f>
        <v/>
      </c>
      <c r="W95" s="5">
        <f>M95+O95+Q95+S95+U95</f>
        <v/>
      </c>
    </row>
    <row r="96">
      <c r="A96" t="inlineStr">
        <is>
          <t>Key West</t>
        </is>
      </c>
      <c r="B96" t="inlineStr">
        <is>
          <t>Site Manager</t>
        </is>
      </c>
      <c r="C96" t="inlineStr">
        <is>
          <t>Non-SCA</t>
        </is>
      </c>
      <c r="D96" t="inlineStr">
        <is>
          <t>Exempt</t>
        </is>
      </c>
      <c r="E96" s="5" t="n">
        <v>95</v>
      </c>
      <c r="F96" s="4" t="n">
        <v>9560</v>
      </c>
      <c r="G96" s="5">
        <f>E96*F96</f>
        <v/>
      </c>
      <c r="H96" s="5">
        <f>G96*0.35</f>
        <v/>
      </c>
      <c r="I96" s="5">
        <f>(G96+H96)*0.05</f>
        <v/>
      </c>
      <c r="J96" s="5">
        <f>(G96+H96+I96)*0.03</f>
        <v/>
      </c>
      <c r="K96" s="5">
        <f>G96+H96+I96+J96</f>
        <v/>
      </c>
      <c r="L96" s="5">
        <f>K96*0.08</f>
        <v/>
      </c>
      <c r="M96" s="5">
        <f>K96+L96</f>
        <v/>
      </c>
      <c r="N96" s="4" t="n">
        <v>1912</v>
      </c>
      <c r="O96" s="5">
        <f>(E96*N96)*1.35*1.05*1.03*1.08</f>
        <v/>
      </c>
      <c r="P96" s="4" t="n">
        <v>1912</v>
      </c>
      <c r="Q96" s="5">
        <f>(E96*P96)*1.35*1.05*1.03*1.08</f>
        <v/>
      </c>
      <c r="R96" s="4" t="n">
        <v>1912</v>
      </c>
      <c r="S96" s="5">
        <f>(E96*R96)*1.35*1.05*1.03*1.08</f>
        <v/>
      </c>
      <c r="T96" s="4" t="n">
        <v>1912</v>
      </c>
      <c r="U96" s="5">
        <f>(E96*T96)*1.35*1.05*1.03*1.08</f>
        <v/>
      </c>
      <c r="V96" s="4">
        <f>F96+N96+P96+R96+T96</f>
        <v/>
      </c>
      <c r="W96" s="5">
        <f>M96+O96+Q96+S96+U96</f>
        <v/>
      </c>
    </row>
    <row r="97">
      <c r="A97" t="inlineStr">
        <is>
          <t>Key West</t>
        </is>
      </c>
      <c r="B97" t="inlineStr">
        <is>
          <t>Mission Coordinator</t>
        </is>
      </c>
      <c r="C97" t="inlineStr">
        <is>
          <t>Non-SCA</t>
        </is>
      </c>
      <c r="D97" t="inlineStr">
        <is>
          <t>Exempt</t>
        </is>
      </c>
      <c r="E97" s="5" t="n">
        <v>85</v>
      </c>
      <c r="F97" s="4" t="n">
        <v>9560</v>
      </c>
      <c r="G97" s="5">
        <f>E97*F97</f>
        <v/>
      </c>
      <c r="H97" s="5">
        <f>G97*0.35</f>
        <v/>
      </c>
      <c r="I97" s="5">
        <f>(G97+H97)*0.05</f>
        <v/>
      </c>
      <c r="J97" s="5">
        <f>(G97+H97+I97)*0.03</f>
        <v/>
      </c>
      <c r="K97" s="5">
        <f>G97+H97+I97+J97</f>
        <v/>
      </c>
      <c r="L97" s="5">
        <f>K97*0.08</f>
        <v/>
      </c>
      <c r="M97" s="5">
        <f>K97+L97</f>
        <v/>
      </c>
      <c r="N97" s="4" t="n">
        <v>1912</v>
      </c>
      <c r="O97" s="5">
        <f>(E97*N97)*1.35*1.05*1.03*1.08</f>
        <v/>
      </c>
      <c r="P97" s="4" t="n">
        <v>1912</v>
      </c>
      <c r="Q97" s="5">
        <f>(E97*P97)*1.35*1.05*1.03*1.08</f>
        <v/>
      </c>
      <c r="R97" s="4" t="n">
        <v>1912</v>
      </c>
      <c r="S97" s="5">
        <f>(E97*R97)*1.35*1.05*1.03*1.08</f>
        <v/>
      </c>
      <c r="T97" s="4" t="n">
        <v>1912</v>
      </c>
      <c r="U97" s="5">
        <f>(E97*T97)*1.35*1.05*1.03*1.08</f>
        <v/>
      </c>
      <c r="V97" s="4">
        <f>F97+N97+P97+R97+T97</f>
        <v/>
      </c>
      <c r="W97" s="5">
        <f>M97+O97+Q97+S97+U97</f>
        <v/>
      </c>
    </row>
    <row r="98">
      <c r="A98" t="inlineStr">
        <is>
          <t>Key West</t>
        </is>
      </c>
      <c r="B98" t="inlineStr">
        <is>
          <t>Mission Coordinator, Senior</t>
        </is>
      </c>
      <c r="C98" t="inlineStr">
        <is>
          <t>Non-SCA</t>
        </is>
      </c>
      <c r="D98" t="inlineStr">
        <is>
          <t>Exempt</t>
        </is>
      </c>
      <c r="E98" s="5" t="n">
        <v>95</v>
      </c>
      <c r="F98" s="4" t="n">
        <v>9560</v>
      </c>
      <c r="G98" s="5">
        <f>E98*F98</f>
        <v/>
      </c>
      <c r="H98" s="5">
        <f>G98*0.35</f>
        <v/>
      </c>
      <c r="I98" s="5">
        <f>(G98+H98)*0.05</f>
        <v/>
      </c>
      <c r="J98" s="5">
        <f>(G98+H98+I98)*0.03</f>
        <v/>
      </c>
      <c r="K98" s="5">
        <f>G98+H98+I98+J98</f>
        <v/>
      </c>
      <c r="L98" s="5">
        <f>K98*0.08</f>
        <v/>
      </c>
      <c r="M98" s="5">
        <f>K98+L98</f>
        <v/>
      </c>
      <c r="N98" s="4" t="n">
        <v>1912</v>
      </c>
      <c r="O98" s="5">
        <f>(E98*N98)*1.35*1.05*1.03*1.08</f>
        <v/>
      </c>
      <c r="P98" s="4" t="n">
        <v>1912</v>
      </c>
      <c r="Q98" s="5">
        <f>(E98*P98)*1.35*1.05*1.03*1.08</f>
        <v/>
      </c>
      <c r="R98" s="4" t="n">
        <v>1912</v>
      </c>
      <c r="S98" s="5">
        <f>(E98*R98)*1.35*1.05*1.03*1.08</f>
        <v/>
      </c>
      <c r="T98" s="4" t="n">
        <v>1912</v>
      </c>
      <c r="U98" s="5">
        <f>(E98*T98)*1.35*1.05*1.03*1.08</f>
        <v/>
      </c>
      <c r="V98" s="4">
        <f>F98+N98+P98+R98+T98</f>
        <v/>
      </c>
      <c r="W98" s="5">
        <f>M98+O98+Q98+S98+U98</f>
        <v/>
      </c>
    </row>
    <row r="99">
      <c r="A99" t="inlineStr">
        <is>
          <t>Key West</t>
        </is>
      </c>
      <c r="B99" t="inlineStr">
        <is>
          <t>Computer Operator IV</t>
        </is>
      </c>
      <c r="C99" t="inlineStr">
        <is>
          <t>SCA</t>
        </is>
      </c>
      <c r="D99" t="inlineStr">
        <is>
          <t>CBA</t>
        </is>
      </c>
      <c r="E99" s="5" t="n">
        <v>33.31</v>
      </c>
      <c r="F99" s="4" t="n">
        <v>19120</v>
      </c>
      <c r="G99" s="5">
        <f>E99*F99</f>
        <v/>
      </c>
      <c r="H99" s="5">
        <f>G99*0.35</f>
        <v/>
      </c>
      <c r="I99" s="5">
        <f>(G99+H99)*0.05</f>
        <v/>
      </c>
      <c r="J99" s="5">
        <f>(G99+H99+I99)*0.03</f>
        <v/>
      </c>
      <c r="K99" s="5">
        <f>G99+H99+I99+J99</f>
        <v/>
      </c>
      <c r="L99" s="5">
        <f>K99*0.08</f>
        <v/>
      </c>
      <c r="M99" s="5">
        <f>K99+L99</f>
        <v/>
      </c>
      <c r="N99" s="4" t="n">
        <v>3824</v>
      </c>
      <c r="O99" s="5">
        <f>(E99*N99)*1.35*1.05*1.03*1.08</f>
        <v/>
      </c>
      <c r="P99" s="4" t="n">
        <v>3824</v>
      </c>
      <c r="Q99" s="5">
        <f>(E99*P99)*1.35*1.05*1.03*1.08</f>
        <v/>
      </c>
      <c r="R99" s="4" t="n">
        <v>3824</v>
      </c>
      <c r="S99" s="5">
        <f>(E99*R99)*1.35*1.05*1.03*1.08</f>
        <v/>
      </c>
      <c r="T99" s="4" t="n">
        <v>3824</v>
      </c>
      <c r="U99" s="5">
        <f>(E99*T99)*1.35*1.05*1.03*1.08</f>
        <v/>
      </c>
      <c r="V99" s="4">
        <f>F99+N99+P99+R99+T99</f>
        <v/>
      </c>
      <c r="W99" s="5">
        <f>M99+O99+Q99+S99+U99</f>
        <v/>
      </c>
    </row>
    <row r="100">
      <c r="A100" t="inlineStr">
        <is>
          <t>Key West</t>
        </is>
      </c>
      <c r="B100" t="inlineStr">
        <is>
          <t>Computer Operator V</t>
        </is>
      </c>
      <c r="C100" t="inlineStr">
        <is>
          <t>SCA</t>
        </is>
      </c>
      <c r="D100" t="inlineStr">
        <is>
          <t>SCLS</t>
        </is>
      </c>
      <c r="E100" s="5" t="n">
        <v>36.88</v>
      </c>
      <c r="F100" s="4" t="n">
        <v>19120</v>
      </c>
      <c r="G100" s="5">
        <f>E100*F100</f>
        <v/>
      </c>
      <c r="H100" s="5">
        <f>G100*0.35</f>
        <v/>
      </c>
      <c r="I100" s="5">
        <f>(G100+H100)*0.05</f>
        <v/>
      </c>
      <c r="J100" s="5">
        <f>(G100+H100+I100)*0.03</f>
        <v/>
      </c>
      <c r="K100" s="5">
        <f>G100+H100+I100+J100</f>
        <v/>
      </c>
      <c r="L100" s="5">
        <f>K100*0.08</f>
        <v/>
      </c>
      <c r="M100" s="5">
        <f>K100+L100</f>
        <v/>
      </c>
      <c r="N100" s="4" t="n">
        <v>3824</v>
      </c>
      <c r="O100" s="5">
        <f>(E100*N100)*1.35*1.05*1.03*1.08</f>
        <v/>
      </c>
      <c r="P100" s="4" t="n">
        <v>3824</v>
      </c>
      <c r="Q100" s="5">
        <f>(E100*P100)*1.35*1.05*1.03*1.08</f>
        <v/>
      </c>
      <c r="R100" s="4" t="n">
        <v>3824</v>
      </c>
      <c r="S100" s="5">
        <f>(E100*R100)*1.35*1.05*1.03*1.08</f>
        <v/>
      </c>
      <c r="T100" s="4" t="n">
        <v>3824</v>
      </c>
      <c r="U100" s="5">
        <f>(E100*T100)*1.35*1.05*1.03*1.08</f>
        <v/>
      </c>
      <c r="V100" s="4">
        <f>F100+N100+P100+R100+T100</f>
        <v/>
      </c>
      <c r="W100" s="5">
        <f>M100+O100+Q100+S100+U100</f>
        <v/>
      </c>
    </row>
    <row r="101">
      <c r="A101" t="inlineStr">
        <is>
          <t>Key West</t>
        </is>
      </c>
      <c r="B101" t="inlineStr">
        <is>
          <t>Tactical Data Link Analyst</t>
        </is>
      </c>
      <c r="C101" t="inlineStr">
        <is>
          <t>Non-SCA</t>
        </is>
      </c>
      <c r="D101" t="inlineStr">
        <is>
          <t>Exempt</t>
        </is>
      </c>
      <c r="E101" s="5" t="n">
        <v>75</v>
      </c>
      <c r="F101" s="4" t="n">
        <v>19120</v>
      </c>
      <c r="G101" s="5">
        <f>E101*F101</f>
        <v/>
      </c>
      <c r="H101" s="5">
        <f>G101*0.35</f>
        <v/>
      </c>
      <c r="I101" s="5">
        <f>(G101+H101)*0.05</f>
        <v/>
      </c>
      <c r="J101" s="5">
        <f>(G101+H101+I101)*0.03</f>
        <v/>
      </c>
      <c r="K101" s="5">
        <f>G101+H101+I101+J101</f>
        <v/>
      </c>
      <c r="L101" s="5">
        <f>K101*0.08</f>
        <v/>
      </c>
      <c r="M101" s="5">
        <f>K101+L101</f>
        <v/>
      </c>
      <c r="N101" s="4" t="n">
        <v>3824</v>
      </c>
      <c r="O101" s="5">
        <f>(E101*N101)*1.35*1.05*1.03*1.08</f>
        <v/>
      </c>
      <c r="P101" s="4" t="n">
        <v>3824</v>
      </c>
      <c r="Q101" s="5">
        <f>(E101*P101)*1.35*1.05*1.03*1.08</f>
        <v/>
      </c>
      <c r="R101" s="4" t="n">
        <v>3824</v>
      </c>
      <c r="S101" s="5">
        <f>(E101*R101)*1.35*1.05*1.03*1.08</f>
        <v/>
      </c>
      <c r="T101" s="4" t="n">
        <v>3824</v>
      </c>
      <c r="U101" s="5">
        <f>(E101*T101)*1.35*1.05*1.03*1.08</f>
        <v/>
      </c>
      <c r="V101" s="4">
        <f>F101+N101+P101+R101+T101</f>
        <v/>
      </c>
      <c r="W101" s="5">
        <f>M101+O101+Q101+S101+U101</f>
        <v/>
      </c>
    </row>
    <row r="102">
      <c r="A102" t="inlineStr">
        <is>
          <t>Key West</t>
        </is>
      </c>
      <c r="B102" t="inlineStr">
        <is>
          <t>Engineering Technician IV</t>
        </is>
      </c>
      <c r="C102" t="inlineStr">
        <is>
          <t>SCA</t>
        </is>
      </c>
      <c r="D102" t="inlineStr">
        <is>
          <t>SCLS</t>
        </is>
      </c>
      <c r="E102" s="5" t="n">
        <v>28.52</v>
      </c>
      <c r="F102" s="4" t="n">
        <v>28680</v>
      </c>
      <c r="G102" s="5">
        <f>E102*F102</f>
        <v/>
      </c>
      <c r="H102" s="5">
        <f>G102*0.35</f>
        <v/>
      </c>
      <c r="I102" s="5">
        <f>(G102+H102)*0.05</f>
        <v/>
      </c>
      <c r="J102" s="5">
        <f>(G102+H102+I102)*0.03</f>
        <v/>
      </c>
      <c r="K102" s="5">
        <f>G102+H102+I102+J102</f>
        <v/>
      </c>
      <c r="L102" s="5">
        <f>K102*0.08</f>
        <v/>
      </c>
      <c r="M102" s="5">
        <f>K102+L102</f>
        <v/>
      </c>
      <c r="N102" s="4" t="n">
        <v>5736</v>
      </c>
      <c r="O102" s="5">
        <f>(E102*N102)*1.35*1.05*1.03*1.08</f>
        <v/>
      </c>
      <c r="P102" s="4" t="n">
        <v>5736</v>
      </c>
      <c r="Q102" s="5">
        <f>(E102*P102)*1.35*1.05*1.03*1.08</f>
        <v/>
      </c>
      <c r="R102" s="4" t="n">
        <v>5736</v>
      </c>
      <c r="S102" s="5">
        <f>(E102*R102)*1.35*1.05*1.03*1.08</f>
        <v/>
      </c>
      <c r="T102" s="4" t="n">
        <v>5736</v>
      </c>
      <c r="U102" s="5">
        <f>(E102*T102)*1.35*1.05*1.03*1.08</f>
        <v/>
      </c>
      <c r="V102" s="4">
        <f>F102+N102+P102+R102+T102</f>
        <v/>
      </c>
      <c r="W102" s="5">
        <f>M102+O102+Q102+S102+U102</f>
        <v/>
      </c>
    </row>
    <row r="103">
      <c r="A103" t="inlineStr">
        <is>
          <t>Key West</t>
        </is>
      </c>
      <c r="B103" t="inlineStr">
        <is>
          <t>Engineering Technician V</t>
        </is>
      </c>
      <c r="C103" t="inlineStr">
        <is>
          <t>SCA</t>
        </is>
      </c>
      <c r="D103" t="inlineStr">
        <is>
          <t>CBA</t>
        </is>
      </c>
      <c r="E103" s="5" t="n">
        <v>34.88</v>
      </c>
      <c r="F103" s="4" t="n">
        <v>28680</v>
      </c>
      <c r="G103" s="5">
        <f>E103*F103</f>
        <v/>
      </c>
      <c r="H103" s="5">
        <f>G103*0.35</f>
        <v/>
      </c>
      <c r="I103" s="5">
        <f>(G103+H103)*0.05</f>
        <v/>
      </c>
      <c r="J103" s="5">
        <f>(G103+H103+I103)*0.03</f>
        <v/>
      </c>
      <c r="K103" s="5">
        <f>G103+H103+I103+J103</f>
        <v/>
      </c>
      <c r="L103" s="5">
        <f>K103*0.08</f>
        <v/>
      </c>
      <c r="M103" s="5">
        <f>K103+L103</f>
        <v/>
      </c>
      <c r="N103" s="4" t="n">
        <v>5736</v>
      </c>
      <c r="O103" s="5">
        <f>(E103*N103)*1.35*1.05*1.03*1.08</f>
        <v/>
      </c>
      <c r="P103" s="4" t="n">
        <v>5736</v>
      </c>
      <c r="Q103" s="5">
        <f>(E103*P103)*1.35*1.05*1.03*1.08</f>
        <v/>
      </c>
      <c r="R103" s="4" t="n">
        <v>5736</v>
      </c>
      <c r="S103" s="5">
        <f>(E103*R103)*1.35*1.05*1.03*1.08</f>
        <v/>
      </c>
      <c r="T103" s="4" t="n">
        <v>5736</v>
      </c>
      <c r="U103" s="5">
        <f>(E103*T103)*1.35*1.05*1.03*1.08</f>
        <v/>
      </c>
      <c r="V103" s="4">
        <f>F103+N103+P103+R103+T103</f>
        <v/>
      </c>
      <c r="W103" s="5">
        <f>M103+O103+Q103+S103+U103</f>
        <v/>
      </c>
    </row>
    <row r="104">
      <c r="A104" t="inlineStr">
        <is>
          <t>Key West</t>
        </is>
      </c>
      <c r="B104" t="inlineStr">
        <is>
          <t>Logistician Analyst IV</t>
        </is>
      </c>
      <c r="C104" t="inlineStr">
        <is>
          <t>Non-SCA</t>
        </is>
      </c>
      <c r="D104" t="inlineStr">
        <is>
          <t>Exempt</t>
        </is>
      </c>
      <c r="E104" s="5" t="n">
        <v>75</v>
      </c>
      <c r="F104" s="4" t="n">
        <v>9560</v>
      </c>
      <c r="G104" s="5">
        <f>E104*F104</f>
        <v/>
      </c>
      <c r="H104" s="5">
        <f>G104*0.35</f>
        <v/>
      </c>
      <c r="I104" s="5">
        <f>(G104+H104)*0.05</f>
        <v/>
      </c>
      <c r="J104" s="5">
        <f>(G104+H104+I104)*0.03</f>
        <v/>
      </c>
      <c r="K104" s="5">
        <f>G104+H104+I104+J104</f>
        <v/>
      </c>
      <c r="L104" s="5">
        <f>K104*0.08</f>
        <v/>
      </c>
      <c r="M104" s="5">
        <f>K104+L104</f>
        <v/>
      </c>
      <c r="N104" s="4" t="n">
        <v>1912</v>
      </c>
      <c r="O104" s="5">
        <f>(E104*N104)*1.35*1.05*1.03*1.08</f>
        <v/>
      </c>
      <c r="P104" s="4" t="n">
        <v>1912</v>
      </c>
      <c r="Q104" s="5">
        <f>(E104*P104)*1.35*1.05*1.03*1.08</f>
        <v/>
      </c>
      <c r="R104" s="4" t="n">
        <v>1912</v>
      </c>
      <c r="S104" s="5">
        <f>(E104*R104)*1.35*1.05*1.03*1.08</f>
        <v/>
      </c>
      <c r="T104" s="4" t="n">
        <v>1912</v>
      </c>
      <c r="U104" s="5">
        <f>(E104*T104)*1.35*1.05*1.03*1.08</f>
        <v/>
      </c>
      <c r="V104" s="4">
        <f>F104+N104+P104+R104+T104</f>
        <v/>
      </c>
      <c r="W104" s="5">
        <f>M104+O104+Q104+S104+U104</f>
        <v/>
      </c>
    </row>
    <row r="105">
      <c r="A105" t="inlineStr">
        <is>
          <t>Key West</t>
        </is>
      </c>
      <c r="B105" t="inlineStr">
        <is>
          <t>Security Coordinator</t>
        </is>
      </c>
      <c r="C105" t="inlineStr">
        <is>
          <t>Non-SCA</t>
        </is>
      </c>
      <c r="D105" t="inlineStr">
        <is>
          <t>Exempt</t>
        </is>
      </c>
      <c r="E105" s="5" t="n">
        <v>70</v>
      </c>
      <c r="F105" s="4" t="n">
        <v>28680</v>
      </c>
      <c r="G105" s="5">
        <f>E105*F105</f>
        <v/>
      </c>
      <c r="H105" s="5">
        <f>G105*0.35</f>
        <v/>
      </c>
      <c r="I105" s="5">
        <f>(G105+H105)*0.05</f>
        <v/>
      </c>
      <c r="J105" s="5">
        <f>(G105+H105+I105)*0.03</f>
        <v/>
      </c>
      <c r="K105" s="5">
        <f>G105+H105+I105+J105</f>
        <v/>
      </c>
      <c r="L105" s="5">
        <f>K105*0.08</f>
        <v/>
      </c>
      <c r="M105" s="5">
        <f>K105+L105</f>
        <v/>
      </c>
      <c r="N105" s="4" t="n">
        <v>5736</v>
      </c>
      <c r="O105" s="5">
        <f>(E105*N105)*1.35*1.05*1.03*1.08</f>
        <v/>
      </c>
      <c r="P105" s="4" t="n">
        <v>5736</v>
      </c>
      <c r="Q105" s="5">
        <f>(E105*P105)*1.35*1.05*1.03*1.08</f>
        <v/>
      </c>
      <c r="R105" s="4" t="n">
        <v>5736</v>
      </c>
      <c r="S105" s="5">
        <f>(E105*R105)*1.35*1.05*1.03*1.08</f>
        <v/>
      </c>
      <c r="T105" s="4" t="n">
        <v>5736</v>
      </c>
      <c r="U105" s="5">
        <f>(E105*T105)*1.35*1.05*1.03*1.08</f>
        <v/>
      </c>
      <c r="V105" s="4">
        <f>F105+N105+P105+R105+T105</f>
        <v/>
      </c>
      <c r="W105" s="5">
        <f>M105+O105+Q105+S105+U105</f>
        <v/>
      </c>
    </row>
    <row r="106">
      <c r="A106" t="inlineStr">
        <is>
          <t>Key West</t>
        </is>
      </c>
      <c r="B106" t="inlineStr">
        <is>
          <t>Quality Assurance/Safety Evaluator</t>
        </is>
      </c>
      <c r="C106" t="inlineStr">
        <is>
          <t>Non-SCA</t>
        </is>
      </c>
      <c r="D106" t="inlineStr">
        <is>
          <t>Exempt</t>
        </is>
      </c>
      <c r="E106" s="5" t="n">
        <v>75</v>
      </c>
      <c r="F106" s="4" t="n">
        <v>9560</v>
      </c>
      <c r="G106" s="5">
        <f>E106*F106</f>
        <v/>
      </c>
      <c r="H106" s="5">
        <f>G106*0.35</f>
        <v/>
      </c>
      <c r="I106" s="5">
        <f>(G106+H106)*0.05</f>
        <v/>
      </c>
      <c r="J106" s="5">
        <f>(G106+H106+I106)*0.03</f>
        <v/>
      </c>
      <c r="K106" s="5">
        <f>G106+H106+I106+J106</f>
        <v/>
      </c>
      <c r="L106" s="5">
        <f>K106*0.08</f>
        <v/>
      </c>
      <c r="M106" s="5">
        <f>K106+L106</f>
        <v/>
      </c>
      <c r="N106" s="4" t="n">
        <v>1912</v>
      </c>
      <c r="O106" s="5">
        <f>(E106*N106)*1.35*1.05*1.03*1.08</f>
        <v/>
      </c>
      <c r="P106" s="4" t="n">
        <v>1912</v>
      </c>
      <c r="Q106" s="5">
        <f>(E106*P106)*1.35*1.05*1.03*1.08</f>
        <v/>
      </c>
      <c r="R106" s="4" t="n">
        <v>1912</v>
      </c>
      <c r="S106" s="5">
        <f>(E106*R106)*1.35*1.05*1.03*1.08</f>
        <v/>
      </c>
      <c r="T106" s="4" t="n">
        <v>1912</v>
      </c>
      <c r="U106" s="5">
        <f>(E106*T106)*1.35*1.05*1.03*1.08</f>
        <v/>
      </c>
      <c r="V106" s="4">
        <f>F106+N106+P106+R106+T106</f>
        <v/>
      </c>
      <c r="W106" s="5">
        <f>M106+O106+Q106+S106+U106</f>
        <v/>
      </c>
    </row>
    <row r="107">
      <c r="A107" t="inlineStr">
        <is>
          <t>Lemoore</t>
        </is>
      </c>
      <c r="B107" t="inlineStr">
        <is>
          <t>Site Lead</t>
        </is>
      </c>
      <c r="C107" t="inlineStr">
        <is>
          <t>Non-SCA</t>
        </is>
      </c>
      <c r="D107" t="inlineStr">
        <is>
          <t>Exempt</t>
        </is>
      </c>
      <c r="E107" s="5" t="n">
        <v>80</v>
      </c>
      <c r="F107" s="4" t="n">
        <v>9560</v>
      </c>
      <c r="G107" s="5">
        <f>E107*F107</f>
        <v/>
      </c>
      <c r="H107" s="5">
        <f>G107*0.35</f>
        <v/>
      </c>
      <c r="I107" s="5">
        <f>(G107+H107)*0.05</f>
        <v/>
      </c>
      <c r="J107" s="5">
        <f>(G107+H107+I107)*0.03</f>
        <v/>
      </c>
      <c r="K107" s="5">
        <f>G107+H107+I107+J107</f>
        <v/>
      </c>
      <c r="L107" s="5">
        <f>K107*0.08</f>
        <v/>
      </c>
      <c r="M107" s="5">
        <f>K107+L107</f>
        <v/>
      </c>
      <c r="N107" s="4" t="n">
        <v>1912</v>
      </c>
      <c r="O107" s="5">
        <f>(E107*N107)*1.35*1.05*1.03*1.08</f>
        <v/>
      </c>
      <c r="P107" s="4" t="n">
        <v>1912</v>
      </c>
      <c r="Q107" s="5">
        <f>(E107*P107)*1.35*1.05*1.03*1.08</f>
        <v/>
      </c>
      <c r="R107" s="4" t="n">
        <v>1912</v>
      </c>
      <c r="S107" s="5">
        <f>(E107*R107)*1.35*1.05*1.03*1.08</f>
        <v/>
      </c>
      <c r="T107" s="4" t="n">
        <v>1912</v>
      </c>
      <c r="U107" s="5">
        <f>(E107*T107)*1.35*1.05*1.03*1.08</f>
        <v/>
      </c>
      <c r="V107" s="4">
        <f>F107+N107+P107+R107+T107</f>
        <v/>
      </c>
      <c r="W107" s="5">
        <f>M107+O107+Q107+S107+U107</f>
        <v/>
      </c>
    </row>
    <row r="108">
      <c r="A108" t="inlineStr">
        <is>
          <t>Lemoore</t>
        </is>
      </c>
      <c r="B108" t="inlineStr">
        <is>
          <t>Mission Coordinator</t>
        </is>
      </c>
      <c r="C108" t="inlineStr">
        <is>
          <t>Non-SCA</t>
        </is>
      </c>
      <c r="D108" t="inlineStr">
        <is>
          <t>Exempt</t>
        </is>
      </c>
      <c r="E108" s="5" t="n">
        <v>85</v>
      </c>
      <c r="F108" s="4" t="n">
        <v>38240</v>
      </c>
      <c r="G108" s="5">
        <f>E108*F108</f>
        <v/>
      </c>
      <c r="H108" s="5">
        <f>G108*0.35</f>
        <v/>
      </c>
      <c r="I108" s="5">
        <f>(G108+H108)*0.05</f>
        <v/>
      </c>
      <c r="J108" s="5">
        <f>(G108+H108+I108)*0.03</f>
        <v/>
      </c>
      <c r="K108" s="5">
        <f>G108+H108+I108+J108</f>
        <v/>
      </c>
      <c r="L108" s="5">
        <f>K108*0.08</f>
        <v/>
      </c>
      <c r="M108" s="5">
        <f>K108+L108</f>
        <v/>
      </c>
      <c r="N108" s="4" t="n">
        <v>7648</v>
      </c>
      <c r="O108" s="5">
        <f>(E108*N108)*1.35*1.05*1.03*1.08</f>
        <v/>
      </c>
      <c r="P108" s="4" t="n">
        <v>7648</v>
      </c>
      <c r="Q108" s="5">
        <f>(E108*P108)*1.35*1.05*1.03*1.08</f>
        <v/>
      </c>
      <c r="R108" s="4" t="n">
        <v>7648</v>
      </c>
      <c r="S108" s="5">
        <f>(E108*R108)*1.35*1.05*1.03*1.08</f>
        <v/>
      </c>
      <c r="T108" s="4" t="n">
        <v>7648</v>
      </c>
      <c r="U108" s="5">
        <f>(E108*T108)*1.35*1.05*1.03*1.08</f>
        <v/>
      </c>
      <c r="V108" s="4">
        <f>F108+N108+P108+R108+T108</f>
        <v/>
      </c>
      <c r="W108" s="5">
        <f>M108+O108+Q108+S108+U108</f>
        <v/>
      </c>
    </row>
    <row r="109">
      <c r="A109" t="inlineStr">
        <is>
          <t>Lemoore</t>
        </is>
      </c>
      <c r="B109" t="inlineStr">
        <is>
          <t>Computer Operator III</t>
        </is>
      </c>
      <c r="C109" t="inlineStr">
        <is>
          <t>SCA</t>
        </is>
      </c>
      <c r="D109" t="inlineStr">
        <is>
          <t>SCLS</t>
        </is>
      </c>
      <c r="E109" s="5" t="n">
        <v>28.91</v>
      </c>
      <c r="F109" s="4" t="n">
        <v>9560</v>
      </c>
      <c r="G109" s="5">
        <f>E109*F109</f>
        <v/>
      </c>
      <c r="H109" s="5">
        <f>G109*0.35</f>
        <v/>
      </c>
      <c r="I109" s="5">
        <f>(G109+H109)*0.05</f>
        <v/>
      </c>
      <c r="J109" s="5">
        <f>(G109+H109+I109)*0.03</f>
        <v/>
      </c>
      <c r="K109" s="5">
        <f>G109+H109+I109+J109</f>
        <v/>
      </c>
      <c r="L109" s="5">
        <f>K109*0.08</f>
        <v/>
      </c>
      <c r="M109" s="5">
        <f>K109+L109</f>
        <v/>
      </c>
      <c r="N109" s="4" t="n">
        <v>1912</v>
      </c>
      <c r="O109" s="5">
        <f>(E109*N109)*1.35*1.05*1.03*1.08</f>
        <v/>
      </c>
      <c r="P109" s="4" t="n">
        <v>1912</v>
      </c>
      <c r="Q109" s="5">
        <f>(E109*P109)*1.35*1.05*1.03*1.08</f>
        <v/>
      </c>
      <c r="R109" s="4" t="n">
        <v>1912</v>
      </c>
      <c r="S109" s="5">
        <f>(E109*R109)*1.35*1.05*1.03*1.08</f>
        <v/>
      </c>
      <c r="T109" s="4" t="n">
        <v>1912</v>
      </c>
      <c r="U109" s="5">
        <f>(E109*T109)*1.35*1.05*1.03*1.08</f>
        <v/>
      </c>
      <c r="V109" s="4">
        <f>F109+N109+P109+R109+T109</f>
        <v/>
      </c>
      <c r="W109" s="5">
        <f>M109+O109+Q109+S109+U109</f>
        <v/>
      </c>
    </row>
    <row r="110">
      <c r="A110" t="inlineStr">
        <is>
          <t>Lemoore</t>
        </is>
      </c>
      <c r="B110" t="inlineStr">
        <is>
          <t>Tactical Data Link Analyst</t>
        </is>
      </c>
      <c r="C110" t="inlineStr">
        <is>
          <t>Non-SCA</t>
        </is>
      </c>
      <c r="D110" t="inlineStr">
        <is>
          <t>Exempt</t>
        </is>
      </c>
      <c r="E110" s="5" t="n">
        <v>75</v>
      </c>
      <c r="F110" s="4" t="n">
        <v>19120</v>
      </c>
      <c r="G110" s="5">
        <f>E110*F110</f>
        <v/>
      </c>
      <c r="H110" s="5">
        <f>G110*0.35</f>
        <v/>
      </c>
      <c r="I110" s="5">
        <f>(G110+H110)*0.05</f>
        <v/>
      </c>
      <c r="J110" s="5">
        <f>(G110+H110+I110)*0.03</f>
        <v/>
      </c>
      <c r="K110" s="5">
        <f>G110+H110+I110+J110</f>
        <v/>
      </c>
      <c r="L110" s="5">
        <f>K110*0.08</f>
        <v/>
      </c>
      <c r="M110" s="5">
        <f>K110+L110</f>
        <v/>
      </c>
      <c r="N110" s="4" t="n">
        <v>3824</v>
      </c>
      <c r="O110" s="5">
        <f>(E110*N110)*1.35*1.05*1.03*1.08</f>
        <v/>
      </c>
      <c r="P110" s="4" t="n">
        <v>3824</v>
      </c>
      <c r="Q110" s="5">
        <f>(E110*P110)*1.35*1.05*1.03*1.08</f>
        <v/>
      </c>
      <c r="R110" s="4" t="n">
        <v>3824</v>
      </c>
      <c r="S110" s="5">
        <f>(E110*R110)*1.35*1.05*1.03*1.08</f>
        <v/>
      </c>
      <c r="T110" s="4" t="n">
        <v>3824</v>
      </c>
      <c r="U110" s="5">
        <f>(E110*T110)*1.35*1.05*1.03*1.08</f>
        <v/>
      </c>
      <c r="V110" s="4">
        <f>F110+N110+P110+R110+T110</f>
        <v/>
      </c>
      <c r="W110" s="5">
        <f>M110+O110+Q110+S110+U110</f>
        <v/>
      </c>
    </row>
    <row r="111">
      <c r="A111" t="inlineStr">
        <is>
          <t>Lemoore</t>
        </is>
      </c>
      <c r="B111" t="inlineStr">
        <is>
          <t>Electronics Technician III</t>
        </is>
      </c>
      <c r="C111" t="inlineStr">
        <is>
          <t>SCA</t>
        </is>
      </c>
      <c r="D111" t="inlineStr">
        <is>
          <t>CBA</t>
        </is>
      </c>
      <c r="E111" s="5" t="n">
        <v>36.58</v>
      </c>
      <c r="F111" s="4" t="n">
        <v>57360</v>
      </c>
      <c r="G111" s="5">
        <f>E111*F111</f>
        <v/>
      </c>
      <c r="H111" s="5">
        <f>G111*0.35</f>
        <v/>
      </c>
      <c r="I111" s="5">
        <f>(G111+H111)*0.05</f>
        <v/>
      </c>
      <c r="J111" s="5">
        <f>(G111+H111+I111)*0.03</f>
        <v/>
      </c>
      <c r="K111" s="5">
        <f>G111+H111+I111+J111</f>
        <v/>
      </c>
      <c r="L111" s="5">
        <f>K111*0.08</f>
        <v/>
      </c>
      <c r="M111" s="5">
        <f>K111+L111</f>
        <v/>
      </c>
      <c r="N111" s="4" t="n">
        <v>11472</v>
      </c>
      <c r="O111" s="5">
        <f>(E111*N111)*1.35*1.05*1.03*1.08</f>
        <v/>
      </c>
      <c r="P111" s="4" t="n">
        <v>11472</v>
      </c>
      <c r="Q111" s="5">
        <f>(E111*P111)*1.35*1.05*1.03*1.08</f>
        <v/>
      </c>
      <c r="R111" s="4" t="n">
        <v>11472</v>
      </c>
      <c r="S111" s="5">
        <f>(E111*R111)*1.35*1.05*1.03*1.08</f>
        <v/>
      </c>
      <c r="T111" s="4" t="n">
        <v>11472</v>
      </c>
      <c r="U111" s="5">
        <f>(E111*T111)*1.35*1.05*1.03*1.08</f>
        <v/>
      </c>
      <c r="V111" s="4">
        <f>F111+N111+P111+R111+T111</f>
        <v/>
      </c>
      <c r="W111" s="5">
        <f>M111+O111+Q111+S111+U111</f>
        <v/>
      </c>
    </row>
    <row r="112">
      <c r="A112" t="inlineStr">
        <is>
          <t>Lemoore</t>
        </is>
      </c>
      <c r="B112" t="inlineStr">
        <is>
          <t>Electronics Technician II</t>
        </is>
      </c>
      <c r="C112" t="inlineStr">
        <is>
          <t>SCA</t>
        </is>
      </c>
      <c r="D112" t="inlineStr">
        <is>
          <t>CBA</t>
        </is>
      </c>
      <c r="E112" s="5" t="n">
        <v>34.45</v>
      </c>
      <c r="F112" s="4" t="n">
        <v>28680</v>
      </c>
      <c r="G112" s="5">
        <f>E112*F112</f>
        <v/>
      </c>
      <c r="H112" s="5">
        <f>G112*0.35</f>
        <v/>
      </c>
      <c r="I112" s="5">
        <f>(G112+H112)*0.05</f>
        <v/>
      </c>
      <c r="J112" s="5">
        <f>(G112+H112+I112)*0.03</f>
        <v/>
      </c>
      <c r="K112" s="5">
        <f>G112+H112+I112+J112</f>
        <v/>
      </c>
      <c r="L112" s="5">
        <f>K112*0.08</f>
        <v/>
      </c>
      <c r="M112" s="5">
        <f>K112+L112</f>
        <v/>
      </c>
      <c r="N112" s="4" t="n">
        <v>5736</v>
      </c>
      <c r="O112" s="5">
        <f>(E112*N112)*1.35*1.05*1.03*1.08</f>
        <v/>
      </c>
      <c r="P112" s="4" t="n">
        <v>5736</v>
      </c>
      <c r="Q112" s="5">
        <f>(E112*P112)*1.35*1.05*1.03*1.08</f>
        <v/>
      </c>
      <c r="R112" s="4" t="n">
        <v>5736</v>
      </c>
      <c r="S112" s="5">
        <f>(E112*R112)*1.35*1.05*1.03*1.08</f>
        <v/>
      </c>
      <c r="T112" s="4" t="n">
        <v>5736</v>
      </c>
      <c r="U112" s="5">
        <f>(E112*T112)*1.35*1.05*1.03*1.08</f>
        <v/>
      </c>
      <c r="V112" s="4">
        <f>F112+N112+P112+R112+T112</f>
        <v/>
      </c>
      <c r="W112" s="5">
        <f>M112+O112+Q112+S112+U112</f>
        <v/>
      </c>
    </row>
    <row r="113">
      <c r="A113" t="inlineStr">
        <is>
          <t>Lemoore</t>
        </is>
      </c>
      <c r="B113" t="inlineStr">
        <is>
          <t>Engineering Technician IV</t>
        </is>
      </c>
      <c r="C113" t="inlineStr">
        <is>
          <t>SCA</t>
        </is>
      </c>
      <c r="D113" t="inlineStr">
        <is>
          <t>SCLS</t>
        </is>
      </c>
      <c r="E113" s="5" t="n">
        <v>31.97</v>
      </c>
      <c r="F113" s="4" t="n">
        <v>9560</v>
      </c>
      <c r="G113" s="5">
        <f>E113*F113</f>
        <v/>
      </c>
      <c r="H113" s="5">
        <f>G113*0.35</f>
        <v/>
      </c>
      <c r="I113" s="5">
        <f>(G113+H113)*0.05</f>
        <v/>
      </c>
      <c r="J113" s="5">
        <f>(G113+H113+I113)*0.03</f>
        <v/>
      </c>
      <c r="K113" s="5">
        <f>G113+H113+I113+J113</f>
        <v/>
      </c>
      <c r="L113" s="5">
        <f>K113*0.08</f>
        <v/>
      </c>
      <c r="M113" s="5">
        <f>K113+L113</f>
        <v/>
      </c>
      <c r="N113" s="4" t="n">
        <v>1912</v>
      </c>
      <c r="O113" s="5">
        <f>(E113*N113)*1.35*1.05*1.03*1.08</f>
        <v/>
      </c>
      <c r="P113" s="4" t="n">
        <v>1912</v>
      </c>
      <c r="Q113" s="5">
        <f>(E113*P113)*1.35*1.05*1.03*1.08</f>
        <v/>
      </c>
      <c r="R113" s="4" t="n">
        <v>1912</v>
      </c>
      <c r="S113" s="5">
        <f>(E113*R113)*1.35*1.05*1.03*1.08</f>
        <v/>
      </c>
      <c r="T113" s="4" t="n">
        <v>1912</v>
      </c>
      <c r="U113" s="5">
        <f>(E113*T113)*1.35*1.05*1.03*1.08</f>
        <v/>
      </c>
      <c r="V113" s="4">
        <f>F113+N113+P113+R113+T113</f>
        <v/>
      </c>
      <c r="W113" s="5">
        <f>M113+O113+Q113+S113+U113</f>
        <v/>
      </c>
    </row>
    <row r="114">
      <c r="A114" t="inlineStr">
        <is>
          <t>Miramar</t>
        </is>
      </c>
      <c r="B114" t="inlineStr">
        <is>
          <t>Site Lead</t>
        </is>
      </c>
      <c r="C114" t="inlineStr">
        <is>
          <t>Non-SCA</t>
        </is>
      </c>
      <c r="D114" t="inlineStr">
        <is>
          <t>Exempt</t>
        </is>
      </c>
      <c r="E114" s="5" t="n">
        <v>80</v>
      </c>
      <c r="F114" s="4" t="n">
        <v>9560</v>
      </c>
      <c r="G114" s="5">
        <f>E114*F114</f>
        <v/>
      </c>
      <c r="H114" s="5">
        <f>G114*0.35</f>
        <v/>
      </c>
      <c r="I114" s="5">
        <f>(G114+H114)*0.05</f>
        <v/>
      </c>
      <c r="J114" s="5">
        <f>(G114+H114+I114)*0.03</f>
        <v/>
      </c>
      <c r="K114" s="5">
        <f>G114+H114+I114+J114</f>
        <v/>
      </c>
      <c r="L114" s="5">
        <f>K114*0.08</f>
        <v/>
      </c>
      <c r="M114" s="5">
        <f>K114+L114</f>
        <v/>
      </c>
      <c r="N114" s="4" t="n">
        <v>1912</v>
      </c>
      <c r="O114" s="5">
        <f>(E114*N114)*1.35*1.05*1.03*1.08</f>
        <v/>
      </c>
      <c r="P114" s="4" t="n">
        <v>1912</v>
      </c>
      <c r="Q114" s="5">
        <f>(E114*P114)*1.35*1.05*1.03*1.08</f>
        <v/>
      </c>
      <c r="R114" s="4" t="n">
        <v>1912</v>
      </c>
      <c r="S114" s="5">
        <f>(E114*R114)*1.35*1.05*1.03*1.08</f>
        <v/>
      </c>
      <c r="T114" s="4" t="n">
        <v>1912</v>
      </c>
      <c r="U114" s="5">
        <f>(E114*T114)*1.35*1.05*1.03*1.08</f>
        <v/>
      </c>
      <c r="V114" s="4">
        <f>F114+N114+P114+R114+T114</f>
        <v/>
      </c>
      <c r="W114" s="5">
        <f>M114+O114+Q114+S114+U114</f>
        <v/>
      </c>
    </row>
    <row r="115">
      <c r="A115" t="inlineStr">
        <is>
          <t>Miramar</t>
        </is>
      </c>
      <c r="B115" t="inlineStr">
        <is>
          <t>Mission Coordinator</t>
        </is>
      </c>
      <c r="C115" t="inlineStr">
        <is>
          <t>Non-SCA</t>
        </is>
      </c>
      <c r="D115" t="inlineStr">
        <is>
          <t>Exempt</t>
        </is>
      </c>
      <c r="E115" s="5" t="n">
        <v>85</v>
      </c>
      <c r="F115" s="4" t="n">
        <v>19120</v>
      </c>
      <c r="G115" s="5">
        <f>E115*F115</f>
        <v/>
      </c>
      <c r="H115" s="5">
        <f>G115*0.35</f>
        <v/>
      </c>
      <c r="I115" s="5">
        <f>(G115+H115)*0.05</f>
        <v/>
      </c>
      <c r="J115" s="5">
        <f>(G115+H115+I115)*0.03</f>
        <v/>
      </c>
      <c r="K115" s="5">
        <f>G115+H115+I115+J115</f>
        <v/>
      </c>
      <c r="L115" s="5">
        <f>K115*0.08</f>
        <v/>
      </c>
      <c r="M115" s="5">
        <f>K115+L115</f>
        <v/>
      </c>
      <c r="N115" s="4" t="n">
        <v>3824</v>
      </c>
      <c r="O115" s="5">
        <f>(E115*N115)*1.35*1.05*1.03*1.08</f>
        <v/>
      </c>
      <c r="P115" s="4" t="n">
        <v>3824</v>
      </c>
      <c r="Q115" s="5">
        <f>(E115*P115)*1.35*1.05*1.03*1.08</f>
        <v/>
      </c>
      <c r="R115" s="4" t="n">
        <v>3824</v>
      </c>
      <c r="S115" s="5">
        <f>(E115*R115)*1.35*1.05*1.03*1.08</f>
        <v/>
      </c>
      <c r="T115" s="4" t="n">
        <v>3824</v>
      </c>
      <c r="U115" s="5">
        <f>(E115*T115)*1.35*1.05*1.03*1.08</f>
        <v/>
      </c>
      <c r="V115" s="4">
        <f>F115+N115+P115+R115+T115</f>
        <v/>
      </c>
      <c r="W115" s="5">
        <f>M115+O115+Q115+S115+U115</f>
        <v/>
      </c>
    </row>
    <row r="116">
      <c r="A116" t="inlineStr">
        <is>
          <t>Miramar</t>
        </is>
      </c>
      <c r="B116" t="inlineStr">
        <is>
          <t>Computer Operator III</t>
        </is>
      </c>
      <c r="C116" t="inlineStr">
        <is>
          <t>SCA</t>
        </is>
      </c>
      <c r="D116" t="inlineStr">
        <is>
          <t>CBA</t>
        </is>
      </c>
      <c r="E116" s="5" t="n">
        <v>30.23</v>
      </c>
      <c r="F116" s="4" t="n">
        <v>28680</v>
      </c>
      <c r="G116" s="5">
        <f>E116*F116</f>
        <v/>
      </c>
      <c r="H116" s="5">
        <f>G116*0.35</f>
        <v/>
      </c>
      <c r="I116" s="5">
        <f>(G116+H116)*0.05</f>
        <v/>
      </c>
      <c r="J116" s="5">
        <f>(G116+H116+I116)*0.03</f>
        <v/>
      </c>
      <c r="K116" s="5">
        <f>G116+H116+I116+J116</f>
        <v/>
      </c>
      <c r="L116" s="5">
        <f>K116*0.08</f>
        <v/>
      </c>
      <c r="M116" s="5">
        <f>K116+L116</f>
        <v/>
      </c>
      <c r="N116" s="4" t="n">
        <v>5736</v>
      </c>
      <c r="O116" s="5">
        <f>(E116*N116)*1.35*1.05*1.03*1.08</f>
        <v/>
      </c>
      <c r="P116" s="4" t="n">
        <v>5736</v>
      </c>
      <c r="Q116" s="5">
        <f>(E116*P116)*1.35*1.05*1.03*1.08</f>
        <v/>
      </c>
      <c r="R116" s="4" t="n">
        <v>5736</v>
      </c>
      <c r="S116" s="5">
        <f>(E116*R116)*1.35*1.05*1.03*1.08</f>
        <v/>
      </c>
      <c r="T116" s="4" t="n">
        <v>5736</v>
      </c>
      <c r="U116" s="5">
        <f>(E116*T116)*1.35*1.05*1.03*1.08</f>
        <v/>
      </c>
      <c r="V116" s="4">
        <f>F116+N116+P116+R116+T116</f>
        <v/>
      </c>
      <c r="W116" s="5">
        <f>M116+O116+Q116+S116+U116</f>
        <v/>
      </c>
    </row>
    <row r="117">
      <c r="A117" t="inlineStr">
        <is>
          <t>Miramar</t>
        </is>
      </c>
      <c r="B117" t="inlineStr">
        <is>
          <t>Computer Operator V</t>
        </is>
      </c>
      <c r="C117" t="inlineStr">
        <is>
          <t>SCA</t>
        </is>
      </c>
      <c r="D117" t="inlineStr">
        <is>
          <t>CBA</t>
        </is>
      </c>
      <c r="E117" s="5" t="n">
        <v>37.21</v>
      </c>
      <c r="F117" s="4" t="n">
        <v>9560</v>
      </c>
      <c r="G117" s="5">
        <f>E117*F117</f>
        <v/>
      </c>
      <c r="H117" s="5">
        <f>G117*0.35</f>
        <v/>
      </c>
      <c r="I117" s="5">
        <f>(G117+H117)*0.05</f>
        <v/>
      </c>
      <c r="J117" s="5">
        <f>(G117+H117+I117)*0.03</f>
        <v/>
      </c>
      <c r="K117" s="5">
        <f>G117+H117+I117+J117</f>
        <v/>
      </c>
      <c r="L117" s="5">
        <f>K117*0.08</f>
        <v/>
      </c>
      <c r="M117" s="5">
        <f>K117+L117</f>
        <v/>
      </c>
      <c r="N117" s="4" t="n">
        <v>1912</v>
      </c>
      <c r="O117" s="5">
        <f>(E117*N117)*1.35*1.05*1.03*1.08</f>
        <v/>
      </c>
      <c r="P117" s="4" t="n">
        <v>1912</v>
      </c>
      <c r="Q117" s="5">
        <f>(E117*P117)*1.35*1.05*1.03*1.08</f>
        <v/>
      </c>
      <c r="R117" s="4" t="n">
        <v>1912</v>
      </c>
      <c r="S117" s="5">
        <f>(E117*R117)*1.35*1.05*1.03*1.08</f>
        <v/>
      </c>
      <c r="T117" s="4" t="n">
        <v>1912</v>
      </c>
      <c r="U117" s="5">
        <f>(E117*T117)*1.35*1.05*1.03*1.08</f>
        <v/>
      </c>
      <c r="V117" s="4">
        <f>F117+N117+P117+R117+T117</f>
        <v/>
      </c>
      <c r="W117" s="5">
        <f>M117+O117+Q117+S117+U117</f>
        <v/>
      </c>
    </row>
    <row r="118">
      <c r="A118" t="inlineStr">
        <is>
          <t>Miramar</t>
        </is>
      </c>
      <c r="B118" t="inlineStr">
        <is>
          <t>Tactical Data Link Analyst</t>
        </is>
      </c>
      <c r="C118" t="inlineStr">
        <is>
          <t>Non-SCA</t>
        </is>
      </c>
      <c r="D118" t="inlineStr">
        <is>
          <t>Exempt</t>
        </is>
      </c>
      <c r="E118" s="5" t="n">
        <v>75</v>
      </c>
      <c r="F118" s="4" t="n">
        <v>9560</v>
      </c>
      <c r="G118" s="5">
        <f>E118*F118</f>
        <v/>
      </c>
      <c r="H118" s="5">
        <f>G118*0.35</f>
        <v/>
      </c>
      <c r="I118" s="5">
        <f>(G118+H118)*0.05</f>
        <v/>
      </c>
      <c r="J118" s="5">
        <f>(G118+H118+I118)*0.03</f>
        <v/>
      </c>
      <c r="K118" s="5">
        <f>G118+H118+I118+J118</f>
        <v/>
      </c>
      <c r="L118" s="5">
        <f>K118*0.08</f>
        <v/>
      </c>
      <c r="M118" s="5">
        <f>K118+L118</f>
        <v/>
      </c>
      <c r="N118" s="4" t="n">
        <v>1912</v>
      </c>
      <c r="O118" s="5">
        <f>(E118*N118)*1.35*1.05*1.03*1.08</f>
        <v/>
      </c>
      <c r="P118" s="4" t="n">
        <v>1912</v>
      </c>
      <c r="Q118" s="5">
        <f>(E118*P118)*1.35*1.05*1.03*1.08</f>
        <v/>
      </c>
      <c r="R118" s="4" t="n">
        <v>1912</v>
      </c>
      <c r="S118" s="5">
        <f>(E118*R118)*1.35*1.05*1.03*1.08</f>
        <v/>
      </c>
      <c r="T118" s="4" t="n">
        <v>1912</v>
      </c>
      <c r="U118" s="5">
        <f>(E118*T118)*1.35*1.05*1.03*1.08</f>
        <v/>
      </c>
      <c r="V118" s="4">
        <f>F118+N118+P118+R118+T118</f>
        <v/>
      </c>
      <c r="W118" s="5">
        <f>M118+O118+Q118+S118+U118</f>
        <v/>
      </c>
    </row>
    <row r="119">
      <c r="A119" t="inlineStr">
        <is>
          <t>Miramar</t>
        </is>
      </c>
      <c r="B119" t="inlineStr">
        <is>
          <t>Engineering Technician IV</t>
        </is>
      </c>
      <c r="C119" t="inlineStr">
        <is>
          <t>SCA</t>
        </is>
      </c>
      <c r="D119" t="inlineStr">
        <is>
          <t>SCLS</t>
        </is>
      </c>
      <c r="E119" s="5" t="n">
        <v>32.53</v>
      </c>
      <c r="F119" s="4" t="n">
        <v>9560</v>
      </c>
      <c r="G119" s="5">
        <f>E119*F119</f>
        <v/>
      </c>
      <c r="H119" s="5">
        <f>G119*0.35</f>
        <v/>
      </c>
      <c r="I119" s="5">
        <f>(G119+H119)*0.05</f>
        <v/>
      </c>
      <c r="J119" s="5">
        <f>(G119+H119+I119)*0.03</f>
        <v/>
      </c>
      <c r="K119" s="5">
        <f>G119+H119+I119+J119</f>
        <v/>
      </c>
      <c r="L119" s="5">
        <f>K119*0.08</f>
        <v/>
      </c>
      <c r="M119" s="5">
        <f>K119+L119</f>
        <v/>
      </c>
      <c r="N119" s="4" t="n">
        <v>1912</v>
      </c>
      <c r="O119" s="5">
        <f>(E119*N119)*1.35*1.05*1.03*1.08</f>
        <v/>
      </c>
      <c r="P119" s="4" t="n">
        <v>1912</v>
      </c>
      <c r="Q119" s="5">
        <f>(E119*P119)*1.35*1.05*1.03*1.08</f>
        <v/>
      </c>
      <c r="R119" s="4" t="n">
        <v>1912</v>
      </c>
      <c r="S119" s="5">
        <f>(E119*R119)*1.35*1.05*1.03*1.08</f>
        <v/>
      </c>
      <c r="T119" s="4" t="n">
        <v>1912</v>
      </c>
      <c r="U119" s="5">
        <f>(E119*T119)*1.35*1.05*1.03*1.08</f>
        <v/>
      </c>
      <c r="V119" s="4">
        <f>F119+N119+P119+R119+T119</f>
        <v/>
      </c>
      <c r="W119" s="5">
        <f>M119+O119+Q119+S119+U119</f>
        <v/>
      </c>
    </row>
    <row r="120">
      <c r="A120" t="inlineStr">
        <is>
          <t>Miramar</t>
        </is>
      </c>
      <c r="B120" t="inlineStr">
        <is>
          <t>Electronics Technician II (INST)</t>
        </is>
      </c>
      <c r="C120" t="inlineStr">
        <is>
          <t>SCA</t>
        </is>
      </c>
      <c r="D120" t="inlineStr">
        <is>
          <t>CBA</t>
        </is>
      </c>
      <c r="E120" s="5" t="n">
        <v>36.22</v>
      </c>
      <c r="F120" s="4" t="n">
        <v>9560</v>
      </c>
      <c r="G120" s="5">
        <f>E120*F120</f>
        <v/>
      </c>
      <c r="H120" s="5">
        <f>G120*0.35</f>
        <v/>
      </c>
      <c r="I120" s="5">
        <f>(G120+H120)*0.05</f>
        <v/>
      </c>
      <c r="J120" s="5">
        <f>(G120+H120+I120)*0.03</f>
        <v/>
      </c>
      <c r="K120" s="5">
        <f>G120+H120+I120+J120</f>
        <v/>
      </c>
      <c r="L120" s="5">
        <f>K120*0.08</f>
        <v/>
      </c>
      <c r="M120" s="5">
        <f>K120+L120</f>
        <v/>
      </c>
      <c r="N120" s="4" t="n">
        <v>1912</v>
      </c>
      <c r="O120" s="5">
        <f>(E120*N120)*1.35*1.05*1.03*1.08</f>
        <v/>
      </c>
      <c r="P120" s="4" t="n">
        <v>1912</v>
      </c>
      <c r="Q120" s="5">
        <f>(E120*P120)*1.35*1.05*1.03*1.08</f>
        <v/>
      </c>
      <c r="R120" s="4" t="n">
        <v>1912</v>
      </c>
      <c r="S120" s="5">
        <f>(E120*R120)*1.35*1.05*1.03*1.08</f>
        <v/>
      </c>
      <c r="T120" s="4" t="n">
        <v>1912</v>
      </c>
      <c r="U120" s="5">
        <f>(E120*T120)*1.35*1.05*1.03*1.08</f>
        <v/>
      </c>
      <c r="V120" s="4">
        <f>F120+N120+P120+R120+T120</f>
        <v/>
      </c>
      <c r="W120" s="5">
        <f>M120+O120+Q120+S120+U120</f>
        <v/>
      </c>
    </row>
    <row r="121">
      <c r="A121" t="inlineStr">
        <is>
          <t>Miramar</t>
        </is>
      </c>
      <c r="B121" t="inlineStr">
        <is>
          <t>Electronics Technician III</t>
        </is>
      </c>
      <c r="C121" t="inlineStr">
        <is>
          <t>SCA</t>
        </is>
      </c>
      <c r="D121" t="inlineStr">
        <is>
          <t>CBA</t>
        </is>
      </c>
      <c r="E121" s="5" t="n">
        <v>38.28</v>
      </c>
      <c r="F121" s="4" t="n">
        <v>19120</v>
      </c>
      <c r="G121" s="5">
        <f>E121*F121</f>
        <v/>
      </c>
      <c r="H121" s="5">
        <f>G121*0.35</f>
        <v/>
      </c>
      <c r="I121" s="5">
        <f>(G121+H121)*0.05</f>
        <v/>
      </c>
      <c r="J121" s="5">
        <f>(G121+H121+I121)*0.03</f>
        <v/>
      </c>
      <c r="K121" s="5">
        <f>G121+H121+I121+J121</f>
        <v/>
      </c>
      <c r="L121" s="5">
        <f>K121*0.08</f>
        <v/>
      </c>
      <c r="M121" s="5">
        <f>K121+L121</f>
        <v/>
      </c>
      <c r="N121" s="4" t="n">
        <v>3824</v>
      </c>
      <c r="O121" s="5">
        <f>(E121*N121)*1.35*1.05*1.03*1.08</f>
        <v/>
      </c>
      <c r="P121" s="4" t="n">
        <v>3824</v>
      </c>
      <c r="Q121" s="5">
        <f>(E121*P121)*1.35*1.05*1.03*1.08</f>
        <v/>
      </c>
      <c r="R121" s="4" t="n">
        <v>3824</v>
      </c>
      <c r="S121" s="5">
        <f>(E121*R121)*1.35*1.05*1.03*1.08</f>
        <v/>
      </c>
      <c r="T121" s="4" t="n">
        <v>3824</v>
      </c>
      <c r="U121" s="5">
        <f>(E121*T121)*1.35*1.05*1.03*1.08</f>
        <v/>
      </c>
      <c r="V121" s="4">
        <f>F121+N121+P121+R121+T121</f>
        <v/>
      </c>
      <c r="W121" s="5">
        <f>M121+O121+Q121+S121+U121</f>
        <v/>
      </c>
    </row>
    <row r="122">
      <c r="A122" t="inlineStr">
        <is>
          <t>Miramar</t>
        </is>
      </c>
      <c r="B122" t="inlineStr">
        <is>
          <t>Computer Systems Analyst I</t>
        </is>
      </c>
      <c r="C122" t="inlineStr">
        <is>
          <t>SCA</t>
        </is>
      </c>
      <c r="D122" t="inlineStr">
        <is>
          <t>CBA</t>
        </is>
      </c>
      <c r="E122" s="5" t="n">
        <v>75</v>
      </c>
      <c r="F122" s="4" t="n">
        <v>9560</v>
      </c>
      <c r="G122" s="5">
        <f>E122*F122</f>
        <v/>
      </c>
      <c r="H122" s="5">
        <f>G122*0.35</f>
        <v/>
      </c>
      <c r="I122" s="5">
        <f>(G122+H122)*0.05</f>
        <v/>
      </c>
      <c r="J122" s="5">
        <f>(G122+H122+I122)*0.03</f>
        <v/>
      </c>
      <c r="K122" s="5">
        <f>G122+H122+I122+J122</f>
        <v/>
      </c>
      <c r="L122" s="5">
        <f>K122*0.08</f>
        <v/>
      </c>
      <c r="M122" s="5">
        <f>K122+L122</f>
        <v/>
      </c>
      <c r="N122" s="4" t="n">
        <v>1912</v>
      </c>
      <c r="O122" s="5">
        <f>(E122*N122)*1.35*1.05*1.03*1.08</f>
        <v/>
      </c>
      <c r="P122" s="4" t="n">
        <v>1912</v>
      </c>
      <c r="Q122" s="5">
        <f>(E122*P122)*1.35*1.05*1.03*1.08</f>
        <v/>
      </c>
      <c r="R122" s="4" t="n">
        <v>1912</v>
      </c>
      <c r="S122" s="5">
        <f>(E122*R122)*1.35*1.05*1.03*1.08</f>
        <v/>
      </c>
      <c r="T122" s="4" t="n">
        <v>1912</v>
      </c>
      <c r="U122" s="5">
        <f>(E122*T122)*1.35*1.05*1.03*1.08</f>
        <v/>
      </c>
      <c r="V122" s="4">
        <f>F122+N122+P122+R122+T122</f>
        <v/>
      </c>
      <c r="W122" s="5">
        <f>M122+O122+Q122+S122+U122</f>
        <v/>
      </c>
    </row>
    <row r="123">
      <c r="A123" t="inlineStr">
        <is>
          <t>Miramar</t>
        </is>
      </c>
      <c r="B123" t="inlineStr">
        <is>
          <t>Computer Systems Analyst II</t>
        </is>
      </c>
      <c r="C123" t="inlineStr">
        <is>
          <t>SCA</t>
        </is>
      </c>
      <c r="D123" t="inlineStr">
        <is>
          <t>CBA</t>
        </is>
      </c>
      <c r="E123" s="5" t="n">
        <v>75</v>
      </c>
      <c r="F123" s="4" t="n">
        <v>9560</v>
      </c>
      <c r="G123" s="5">
        <f>E123*F123</f>
        <v/>
      </c>
      <c r="H123" s="5">
        <f>G123*0.35</f>
        <v/>
      </c>
      <c r="I123" s="5">
        <f>(G123+H123)*0.05</f>
        <v/>
      </c>
      <c r="J123" s="5">
        <f>(G123+H123+I123)*0.03</f>
        <v/>
      </c>
      <c r="K123" s="5">
        <f>G123+H123+I123+J123</f>
        <v/>
      </c>
      <c r="L123" s="5">
        <f>K123*0.08</f>
        <v/>
      </c>
      <c r="M123" s="5">
        <f>K123+L123</f>
        <v/>
      </c>
      <c r="N123" s="4" t="n">
        <v>1912</v>
      </c>
      <c r="O123" s="5">
        <f>(E123*N123)*1.35*1.05*1.03*1.08</f>
        <v/>
      </c>
      <c r="P123" s="4" t="n">
        <v>1912</v>
      </c>
      <c r="Q123" s="5">
        <f>(E123*P123)*1.35*1.05*1.03*1.08</f>
        <v/>
      </c>
      <c r="R123" s="4" t="n">
        <v>1912</v>
      </c>
      <c r="S123" s="5">
        <f>(E123*R123)*1.35*1.05*1.03*1.08</f>
        <v/>
      </c>
      <c r="T123" s="4" t="n">
        <v>1912</v>
      </c>
      <c r="U123" s="5">
        <f>(E123*T123)*1.35*1.05*1.03*1.08</f>
        <v/>
      </c>
      <c r="V123" s="4">
        <f>F123+N123+P123+R123+T123</f>
        <v/>
      </c>
      <c r="W123" s="5">
        <f>M123+O123+Q123+S123+U123</f>
        <v/>
      </c>
    </row>
    <row r="124">
      <c r="A124" t="inlineStr">
        <is>
          <t>Miramar</t>
        </is>
      </c>
      <c r="B124" t="inlineStr">
        <is>
          <t>Security Coordinator</t>
        </is>
      </c>
      <c r="C124" t="inlineStr">
        <is>
          <t>Non-SCA</t>
        </is>
      </c>
      <c r="D124" t="inlineStr">
        <is>
          <t>Exempt</t>
        </is>
      </c>
      <c r="E124" s="5" t="n">
        <v>70</v>
      </c>
      <c r="F124" s="4" t="n">
        <v>19120</v>
      </c>
      <c r="G124" s="5">
        <f>E124*F124</f>
        <v/>
      </c>
      <c r="H124" s="5">
        <f>G124*0.35</f>
        <v/>
      </c>
      <c r="I124" s="5">
        <f>(G124+H124)*0.05</f>
        <v/>
      </c>
      <c r="J124" s="5">
        <f>(G124+H124+I124)*0.03</f>
        <v/>
      </c>
      <c r="K124" s="5">
        <f>G124+H124+I124+J124</f>
        <v/>
      </c>
      <c r="L124" s="5">
        <f>K124*0.08</f>
        <v/>
      </c>
      <c r="M124" s="5">
        <f>K124+L124</f>
        <v/>
      </c>
      <c r="N124" s="4" t="n">
        <v>3824</v>
      </c>
      <c r="O124" s="5">
        <f>(E124*N124)*1.35*1.05*1.03*1.08</f>
        <v/>
      </c>
      <c r="P124" s="4" t="n">
        <v>3824</v>
      </c>
      <c r="Q124" s="5">
        <f>(E124*P124)*1.35*1.05*1.03*1.08</f>
        <v/>
      </c>
      <c r="R124" s="4" t="n">
        <v>3824</v>
      </c>
      <c r="S124" s="5">
        <f>(E124*R124)*1.35*1.05*1.03*1.08</f>
        <v/>
      </c>
      <c r="T124" s="4" t="n">
        <v>3824</v>
      </c>
      <c r="U124" s="5">
        <f>(E124*T124)*1.35*1.05*1.03*1.08</f>
        <v/>
      </c>
      <c r="V124" s="4">
        <f>F124+N124+P124+R124+T124</f>
        <v/>
      </c>
      <c r="W124" s="5">
        <f>M124+O124+Q124+S124+U124</f>
        <v/>
      </c>
    </row>
    <row r="125">
      <c r="A125" t="inlineStr">
        <is>
          <t>MTEN - 29 Palms</t>
        </is>
      </c>
      <c r="B125" t="inlineStr">
        <is>
          <t>Cybersecurity Analyst III</t>
        </is>
      </c>
      <c r="C125" t="inlineStr">
        <is>
          <t>Non-SCA</t>
        </is>
      </c>
      <c r="D125" t="inlineStr">
        <is>
          <t>Exempt</t>
        </is>
      </c>
      <c r="E125" s="5" t="n">
        <v>80</v>
      </c>
      <c r="F125" s="4" t="n">
        <v>3186.666666666667</v>
      </c>
      <c r="G125" s="5">
        <f>E125*F125</f>
        <v/>
      </c>
      <c r="H125" s="5">
        <f>G125*0.35</f>
        <v/>
      </c>
      <c r="I125" s="5">
        <f>(G125+H125)*0.05</f>
        <v/>
      </c>
      <c r="J125" s="5">
        <f>(G125+H125+I125)*0.03</f>
        <v/>
      </c>
      <c r="K125" s="5">
        <f>G125+H125+I125+J125</f>
        <v/>
      </c>
      <c r="L125" s="5">
        <f>K125*0.08</f>
        <v/>
      </c>
      <c r="M125" s="5">
        <f>K125+L125</f>
        <v/>
      </c>
      <c r="N125" s="4" t="n">
        <v>637.3333333333334</v>
      </c>
      <c r="O125" s="5">
        <f>(E125*N125)*1.35*1.05*1.03*1.08</f>
        <v/>
      </c>
      <c r="P125" s="4" t="n">
        <v>637.3333333333334</v>
      </c>
      <c r="Q125" s="5">
        <f>(E125*P125)*1.35*1.05*1.03*1.08</f>
        <v/>
      </c>
      <c r="R125" s="4" t="n">
        <v>637.3333333333334</v>
      </c>
      <c r="S125" s="5">
        <f>(E125*R125)*1.35*1.05*1.03*1.08</f>
        <v/>
      </c>
      <c r="T125" s="4" t="n">
        <v>637.3333333333334</v>
      </c>
      <c r="U125" s="5">
        <f>(E125*T125)*1.35*1.05*1.03*1.08</f>
        <v/>
      </c>
      <c r="V125" s="4">
        <f>F125+N125+P125+R125+T125</f>
        <v/>
      </c>
      <c r="W125" s="5">
        <f>M125+O125+Q125+S125+U125</f>
        <v/>
      </c>
    </row>
    <row r="126">
      <c r="A126" t="inlineStr">
        <is>
          <t>MTEN - 29 Palms</t>
        </is>
      </c>
      <c r="B126" t="inlineStr">
        <is>
          <t>Cybersecurity Analyst IV</t>
        </is>
      </c>
      <c r="C126" t="inlineStr">
        <is>
          <t>Non-SCA</t>
        </is>
      </c>
      <c r="D126" t="inlineStr">
        <is>
          <t>Exempt</t>
        </is>
      </c>
      <c r="E126" s="5" t="n">
        <v>80</v>
      </c>
      <c r="F126" s="4" t="n">
        <v>3186.666666666667</v>
      </c>
      <c r="G126" s="5">
        <f>E126*F126</f>
        <v/>
      </c>
      <c r="H126" s="5">
        <f>G126*0.35</f>
        <v/>
      </c>
      <c r="I126" s="5">
        <f>(G126+H126)*0.05</f>
        <v/>
      </c>
      <c r="J126" s="5">
        <f>(G126+H126+I126)*0.03</f>
        <v/>
      </c>
      <c r="K126" s="5">
        <f>G126+H126+I126+J126</f>
        <v/>
      </c>
      <c r="L126" s="5">
        <f>K126*0.08</f>
        <v/>
      </c>
      <c r="M126" s="5">
        <f>K126+L126</f>
        <v/>
      </c>
      <c r="N126" s="4" t="n">
        <v>637.3333333333334</v>
      </c>
      <c r="O126" s="5">
        <f>(E126*N126)*1.35*1.05*1.03*1.08</f>
        <v/>
      </c>
      <c r="P126" s="4" t="n">
        <v>637.3333333333334</v>
      </c>
      <c r="Q126" s="5">
        <f>(E126*P126)*1.35*1.05*1.03*1.08</f>
        <v/>
      </c>
      <c r="R126" s="4" t="n">
        <v>637.3333333333334</v>
      </c>
      <c r="S126" s="5">
        <f>(E126*R126)*1.35*1.05*1.03*1.08</f>
        <v/>
      </c>
      <c r="T126" s="4" t="n">
        <v>637.3333333333334</v>
      </c>
      <c r="U126" s="5">
        <f>(E126*T126)*1.35*1.05*1.03*1.08</f>
        <v/>
      </c>
      <c r="V126" s="4">
        <f>F126+N126+P126+R126+T126</f>
        <v/>
      </c>
      <c r="W126" s="5">
        <f>M126+O126+Q126+S126+U126</f>
        <v/>
      </c>
    </row>
    <row r="127">
      <c r="A127" t="inlineStr">
        <is>
          <t>MTEN - 29 Palms</t>
        </is>
      </c>
      <c r="B127" t="inlineStr">
        <is>
          <t>Mission Coordinator</t>
        </is>
      </c>
      <c r="C127" t="inlineStr">
        <is>
          <t>Non-SCA</t>
        </is>
      </c>
      <c r="D127" t="inlineStr">
        <is>
          <t>Exempt</t>
        </is>
      </c>
      <c r="E127" s="5" t="n">
        <v>85</v>
      </c>
      <c r="F127" s="4" t="n">
        <v>11153.33333333333</v>
      </c>
      <c r="G127" s="5">
        <f>E127*F127</f>
        <v/>
      </c>
      <c r="H127" s="5">
        <f>G127*0.35</f>
        <v/>
      </c>
      <c r="I127" s="5">
        <f>(G127+H127)*0.05</f>
        <v/>
      </c>
      <c r="J127" s="5">
        <f>(G127+H127+I127)*0.03</f>
        <v/>
      </c>
      <c r="K127" s="5">
        <f>G127+H127+I127+J127</f>
        <v/>
      </c>
      <c r="L127" s="5">
        <f>K127*0.08</f>
        <v/>
      </c>
      <c r="M127" s="5">
        <f>K127+L127</f>
        <v/>
      </c>
      <c r="N127" s="4" t="n">
        <v>2230.666666666667</v>
      </c>
      <c r="O127" s="5">
        <f>(E127*N127)*1.35*1.05*1.03*1.08</f>
        <v/>
      </c>
      <c r="P127" s="4" t="n">
        <v>2230.666666666667</v>
      </c>
      <c r="Q127" s="5">
        <f>(E127*P127)*1.35*1.05*1.03*1.08</f>
        <v/>
      </c>
      <c r="R127" s="4" t="n">
        <v>2230.666666666667</v>
      </c>
      <c r="S127" s="5">
        <f>(E127*R127)*1.35*1.05*1.03*1.08</f>
        <v/>
      </c>
      <c r="T127" s="4" t="n">
        <v>2230.666666666667</v>
      </c>
      <c r="U127" s="5">
        <f>(E127*T127)*1.35*1.05*1.03*1.08</f>
        <v/>
      </c>
      <c r="V127" s="4">
        <f>F127+N127+P127+R127+T127</f>
        <v/>
      </c>
      <c r="W127" s="5">
        <f>M127+O127+Q127+S127+U127</f>
        <v/>
      </c>
    </row>
    <row r="128">
      <c r="A128" t="inlineStr">
        <is>
          <t>MTEN - 29 Palms</t>
        </is>
      </c>
      <c r="B128" t="inlineStr">
        <is>
          <t>Network Administrator III</t>
        </is>
      </c>
      <c r="C128" t="inlineStr">
        <is>
          <t>Non-SCA</t>
        </is>
      </c>
      <c r="D128" t="inlineStr">
        <is>
          <t>Exempt</t>
        </is>
      </c>
      <c r="E128" s="5" t="n">
        <v>80</v>
      </c>
      <c r="F128" s="4" t="n">
        <v>6373.333333333334</v>
      </c>
      <c r="G128" s="5">
        <f>E128*F128</f>
        <v/>
      </c>
      <c r="H128" s="5">
        <f>G128*0.35</f>
        <v/>
      </c>
      <c r="I128" s="5">
        <f>(G128+H128)*0.05</f>
        <v/>
      </c>
      <c r="J128" s="5">
        <f>(G128+H128+I128)*0.03</f>
        <v/>
      </c>
      <c r="K128" s="5">
        <f>G128+H128+I128+J128</f>
        <v/>
      </c>
      <c r="L128" s="5">
        <f>K128*0.08</f>
        <v/>
      </c>
      <c r="M128" s="5">
        <f>K128+L128</f>
        <v/>
      </c>
      <c r="N128" s="4" t="n">
        <v>1274.666666666667</v>
      </c>
      <c r="O128" s="5">
        <f>(E128*N128)*1.35*1.05*1.03*1.08</f>
        <v/>
      </c>
      <c r="P128" s="4" t="n">
        <v>1274.666666666667</v>
      </c>
      <c r="Q128" s="5">
        <f>(E128*P128)*1.35*1.05*1.03*1.08</f>
        <v/>
      </c>
      <c r="R128" s="4" t="n">
        <v>1274.666666666667</v>
      </c>
      <c r="S128" s="5">
        <f>(E128*R128)*1.35*1.05*1.03*1.08</f>
        <v/>
      </c>
      <c r="T128" s="4" t="n">
        <v>1274.666666666667</v>
      </c>
      <c r="U128" s="5">
        <f>(E128*T128)*1.35*1.05*1.03*1.08</f>
        <v/>
      </c>
      <c r="V128" s="4">
        <f>F128+N128+P128+R128+T128</f>
        <v/>
      </c>
      <c r="W128" s="5">
        <f>M128+O128+Q128+S128+U128</f>
        <v/>
      </c>
    </row>
    <row r="129">
      <c r="A129" t="inlineStr">
        <is>
          <t>MTEN - 29 Palms</t>
        </is>
      </c>
      <c r="B129" t="inlineStr">
        <is>
          <t>Network Administrator IV</t>
        </is>
      </c>
      <c r="C129" t="inlineStr">
        <is>
          <t>Non-SCA</t>
        </is>
      </c>
      <c r="D129" t="inlineStr">
        <is>
          <t>Exempt</t>
        </is>
      </c>
      <c r="E129" s="5" t="n">
        <v>80</v>
      </c>
      <c r="F129" s="4" t="n">
        <v>28680</v>
      </c>
      <c r="G129" s="5">
        <f>E129*F129</f>
        <v/>
      </c>
      <c r="H129" s="5">
        <f>G129*0.35</f>
        <v/>
      </c>
      <c r="I129" s="5">
        <f>(G129+H129)*0.05</f>
        <v/>
      </c>
      <c r="J129" s="5">
        <f>(G129+H129+I129)*0.03</f>
        <v/>
      </c>
      <c r="K129" s="5">
        <f>G129+H129+I129+J129</f>
        <v/>
      </c>
      <c r="L129" s="5">
        <f>K129*0.08</f>
        <v/>
      </c>
      <c r="M129" s="5">
        <f>K129+L129</f>
        <v/>
      </c>
      <c r="N129" s="4" t="n">
        <v>5736</v>
      </c>
      <c r="O129" s="5">
        <f>(E129*N129)*1.35*1.05*1.03*1.08</f>
        <v/>
      </c>
      <c r="P129" s="4" t="n">
        <v>5736</v>
      </c>
      <c r="Q129" s="5">
        <f>(E129*P129)*1.35*1.05*1.03*1.08</f>
        <v/>
      </c>
      <c r="R129" s="4" t="n">
        <v>5736</v>
      </c>
      <c r="S129" s="5">
        <f>(E129*R129)*1.35*1.05*1.03*1.08</f>
        <v/>
      </c>
      <c r="T129" s="4" t="n">
        <v>5736</v>
      </c>
      <c r="U129" s="5">
        <f>(E129*T129)*1.35*1.05*1.03*1.08</f>
        <v/>
      </c>
      <c r="V129" s="4">
        <f>F129+N129+P129+R129+T129</f>
        <v/>
      </c>
      <c r="W129" s="5">
        <f>M129+O129+Q129+S129+U129</f>
        <v/>
      </c>
    </row>
    <row r="130">
      <c r="A130" t="inlineStr">
        <is>
          <t>MTEN - 29 Palms</t>
        </is>
      </c>
      <c r="B130" t="inlineStr">
        <is>
          <t>Network Engineer IV</t>
        </is>
      </c>
      <c r="C130" t="inlineStr">
        <is>
          <t>Non-SCA</t>
        </is>
      </c>
      <c r="D130" t="inlineStr">
        <is>
          <t>Exempt</t>
        </is>
      </c>
      <c r="E130" s="5" t="n">
        <v>95</v>
      </c>
      <c r="F130" s="4" t="n">
        <v>11153.33333333333</v>
      </c>
      <c r="G130" s="5">
        <f>E130*F130</f>
        <v/>
      </c>
      <c r="H130" s="5">
        <f>G130*0.35</f>
        <v/>
      </c>
      <c r="I130" s="5">
        <f>(G130+H130)*0.05</f>
        <v/>
      </c>
      <c r="J130" s="5">
        <f>(G130+H130+I130)*0.03</f>
        <v/>
      </c>
      <c r="K130" s="5">
        <f>G130+H130+I130+J130</f>
        <v/>
      </c>
      <c r="L130" s="5">
        <f>K130*0.08</f>
        <v/>
      </c>
      <c r="M130" s="5">
        <f>K130+L130</f>
        <v/>
      </c>
      <c r="N130" s="4" t="n">
        <v>2230.666666666667</v>
      </c>
      <c r="O130" s="5">
        <f>(E130*N130)*1.35*1.05*1.03*1.08</f>
        <v/>
      </c>
      <c r="P130" s="4" t="n">
        <v>2230.666666666667</v>
      </c>
      <c r="Q130" s="5">
        <f>(E130*P130)*1.35*1.05*1.03*1.08</f>
        <v/>
      </c>
      <c r="R130" s="4" t="n">
        <v>2230.666666666667</v>
      </c>
      <c r="S130" s="5">
        <f>(E130*R130)*1.35*1.05*1.03*1.08</f>
        <v/>
      </c>
      <c r="T130" s="4" t="n">
        <v>2230.666666666667</v>
      </c>
      <c r="U130" s="5">
        <f>(E130*T130)*1.35*1.05*1.03*1.08</f>
        <v/>
      </c>
      <c r="V130" s="4">
        <f>F130+N130+P130+R130+T130</f>
        <v/>
      </c>
      <c r="W130" s="5">
        <f>M130+O130+Q130+S130+U130</f>
        <v/>
      </c>
    </row>
    <row r="131">
      <c r="A131" t="inlineStr">
        <is>
          <t>MTEN - 29 Palms</t>
        </is>
      </c>
      <c r="B131" t="inlineStr">
        <is>
          <t>Tactical Data Link Analyst</t>
        </is>
      </c>
      <c r="C131" t="inlineStr">
        <is>
          <t>Non-SCA</t>
        </is>
      </c>
      <c r="D131" t="inlineStr">
        <is>
          <t>Exempt</t>
        </is>
      </c>
      <c r="E131" s="5" t="n">
        <v>75</v>
      </c>
      <c r="F131" s="4" t="n">
        <v>11153.33333333333</v>
      </c>
      <c r="G131" s="5">
        <f>E131*F131</f>
        <v/>
      </c>
      <c r="H131" s="5">
        <f>G131*0.35</f>
        <v/>
      </c>
      <c r="I131" s="5">
        <f>(G131+H131)*0.05</f>
        <v/>
      </c>
      <c r="J131" s="5">
        <f>(G131+H131+I131)*0.03</f>
        <v/>
      </c>
      <c r="K131" s="5">
        <f>G131+H131+I131+J131</f>
        <v/>
      </c>
      <c r="L131" s="5">
        <f>K131*0.08</f>
        <v/>
      </c>
      <c r="M131" s="5">
        <f>K131+L131</f>
        <v/>
      </c>
      <c r="N131" s="4" t="n">
        <v>2230.666666666667</v>
      </c>
      <c r="O131" s="5">
        <f>(E131*N131)*1.35*1.05*1.03*1.08</f>
        <v/>
      </c>
      <c r="P131" s="4" t="n">
        <v>2230.666666666667</v>
      </c>
      <c r="Q131" s="5">
        <f>(E131*P131)*1.35*1.05*1.03*1.08</f>
        <v/>
      </c>
      <c r="R131" s="4" t="n">
        <v>2230.666666666667</v>
      </c>
      <c r="S131" s="5">
        <f>(E131*R131)*1.35*1.05*1.03*1.08</f>
        <v/>
      </c>
      <c r="T131" s="4" t="n">
        <v>2230.666666666667</v>
      </c>
      <c r="U131" s="5">
        <f>(E131*T131)*1.35*1.05*1.03*1.08</f>
        <v/>
      </c>
      <c r="V131" s="4">
        <f>F131+N131+P131+R131+T131</f>
        <v/>
      </c>
      <c r="W131" s="5">
        <f>M131+O131+Q131+S131+U131</f>
        <v/>
      </c>
    </row>
    <row r="132">
      <c r="A132" t="inlineStr">
        <is>
          <t>MTEN - 29 Palms</t>
        </is>
      </c>
      <c r="B132" t="inlineStr">
        <is>
          <t>Technical Support Specialist</t>
        </is>
      </c>
      <c r="C132" t="inlineStr">
        <is>
          <t>Non-SCA</t>
        </is>
      </c>
      <c r="D132" t="inlineStr">
        <is>
          <t>Exempt</t>
        </is>
      </c>
      <c r="E132" s="5" t="n">
        <v>80</v>
      </c>
      <c r="F132" s="4" t="n">
        <v>22306.66666666666</v>
      </c>
      <c r="G132" s="5">
        <f>E132*F132</f>
        <v/>
      </c>
      <c r="H132" s="5">
        <f>G132*0.35</f>
        <v/>
      </c>
      <c r="I132" s="5">
        <f>(G132+H132)*0.05</f>
        <v/>
      </c>
      <c r="J132" s="5">
        <f>(G132+H132+I132)*0.03</f>
        <v/>
      </c>
      <c r="K132" s="5">
        <f>G132+H132+I132+J132</f>
        <v/>
      </c>
      <c r="L132" s="5">
        <f>K132*0.08</f>
        <v/>
      </c>
      <c r="M132" s="5">
        <f>K132+L132</f>
        <v/>
      </c>
      <c r="N132" s="4" t="n">
        <v>4461.333333333333</v>
      </c>
      <c r="O132" s="5">
        <f>(E132*N132)*1.35*1.05*1.03*1.08</f>
        <v/>
      </c>
      <c r="P132" s="4" t="n">
        <v>4461.333333333333</v>
      </c>
      <c r="Q132" s="5">
        <f>(E132*P132)*1.35*1.05*1.03*1.08</f>
        <v/>
      </c>
      <c r="R132" s="4" t="n">
        <v>4461.333333333333</v>
      </c>
      <c r="S132" s="5">
        <f>(E132*R132)*1.35*1.05*1.03*1.08</f>
        <v/>
      </c>
      <c r="T132" s="4" t="n">
        <v>4461.333333333333</v>
      </c>
      <c r="U132" s="5">
        <f>(E132*T132)*1.35*1.05*1.03*1.08</f>
        <v/>
      </c>
      <c r="V132" s="4">
        <f>F132+N132+P132+R132+T132</f>
        <v/>
      </c>
      <c r="W132" s="5">
        <f>M132+O132+Q132+S132+U132</f>
        <v/>
      </c>
    </row>
    <row r="133">
      <c r="A133" t="inlineStr">
        <is>
          <t>MTEN - Camp Lejeune</t>
        </is>
      </c>
      <c r="B133" t="inlineStr">
        <is>
          <t>Cybersecurity Analyst III</t>
        </is>
      </c>
      <c r="C133" t="inlineStr">
        <is>
          <t>Non-SCA</t>
        </is>
      </c>
      <c r="D133" t="inlineStr">
        <is>
          <t>Exempt</t>
        </is>
      </c>
      <c r="E133" s="5" t="n">
        <v>80</v>
      </c>
      <c r="F133" s="4" t="n">
        <v>3186.666666666667</v>
      </c>
      <c r="G133" s="5">
        <f>E133*F133</f>
        <v/>
      </c>
      <c r="H133" s="5">
        <f>G133*0.35</f>
        <v/>
      </c>
      <c r="I133" s="5">
        <f>(G133+H133)*0.05</f>
        <v/>
      </c>
      <c r="J133" s="5">
        <f>(G133+H133+I133)*0.03</f>
        <v/>
      </c>
      <c r="K133" s="5">
        <f>G133+H133+I133+J133</f>
        <v/>
      </c>
      <c r="L133" s="5">
        <f>K133*0.08</f>
        <v/>
      </c>
      <c r="M133" s="5">
        <f>K133+L133</f>
        <v/>
      </c>
      <c r="N133" s="4" t="n">
        <v>637.3333333333334</v>
      </c>
      <c r="O133" s="5">
        <f>(E133*N133)*1.35*1.05*1.03*1.08</f>
        <v/>
      </c>
      <c r="P133" s="4" t="n">
        <v>637.3333333333334</v>
      </c>
      <c r="Q133" s="5">
        <f>(E133*P133)*1.35*1.05*1.03*1.08</f>
        <v/>
      </c>
      <c r="R133" s="4" t="n">
        <v>637.3333333333334</v>
      </c>
      <c r="S133" s="5">
        <f>(E133*R133)*1.35*1.05*1.03*1.08</f>
        <v/>
      </c>
      <c r="T133" s="4" t="n">
        <v>637.3333333333334</v>
      </c>
      <c r="U133" s="5">
        <f>(E133*T133)*1.35*1.05*1.03*1.08</f>
        <v/>
      </c>
      <c r="V133" s="4">
        <f>F133+N133+P133+R133+T133</f>
        <v/>
      </c>
      <c r="W133" s="5">
        <f>M133+O133+Q133+S133+U133</f>
        <v/>
      </c>
    </row>
    <row r="134">
      <c r="A134" t="inlineStr">
        <is>
          <t>MTEN - Camp Lejeune</t>
        </is>
      </c>
      <c r="B134" t="inlineStr">
        <is>
          <t>Cybersecurity Analyst IV</t>
        </is>
      </c>
      <c r="C134" t="inlineStr">
        <is>
          <t>Non-SCA</t>
        </is>
      </c>
      <c r="D134" t="inlineStr">
        <is>
          <t>Exempt</t>
        </is>
      </c>
      <c r="E134" s="5" t="n">
        <v>80</v>
      </c>
      <c r="F134" s="4" t="n">
        <v>3186.666666666667</v>
      </c>
      <c r="G134" s="5">
        <f>E134*F134</f>
        <v/>
      </c>
      <c r="H134" s="5">
        <f>G134*0.35</f>
        <v/>
      </c>
      <c r="I134" s="5">
        <f>(G134+H134)*0.05</f>
        <v/>
      </c>
      <c r="J134" s="5">
        <f>(G134+H134+I134)*0.03</f>
        <v/>
      </c>
      <c r="K134" s="5">
        <f>G134+H134+I134+J134</f>
        <v/>
      </c>
      <c r="L134" s="5">
        <f>K134*0.08</f>
        <v/>
      </c>
      <c r="M134" s="5">
        <f>K134+L134</f>
        <v/>
      </c>
      <c r="N134" s="4" t="n">
        <v>637.3333333333334</v>
      </c>
      <c r="O134" s="5">
        <f>(E134*N134)*1.35*1.05*1.03*1.08</f>
        <v/>
      </c>
      <c r="P134" s="4" t="n">
        <v>637.3333333333334</v>
      </c>
      <c r="Q134" s="5">
        <f>(E134*P134)*1.35*1.05*1.03*1.08</f>
        <v/>
      </c>
      <c r="R134" s="4" t="n">
        <v>637.3333333333334</v>
      </c>
      <c r="S134" s="5">
        <f>(E134*R134)*1.35*1.05*1.03*1.08</f>
        <v/>
      </c>
      <c r="T134" s="4" t="n">
        <v>637.3333333333334</v>
      </c>
      <c r="U134" s="5">
        <f>(E134*T134)*1.35*1.05*1.03*1.08</f>
        <v/>
      </c>
      <c r="V134" s="4">
        <f>F134+N134+P134+R134+T134</f>
        <v/>
      </c>
      <c r="W134" s="5">
        <f>M134+O134+Q134+S134+U134</f>
        <v/>
      </c>
    </row>
    <row r="135">
      <c r="A135" t="inlineStr">
        <is>
          <t>MTEN - Camp Lejeune</t>
        </is>
      </c>
      <c r="B135" t="inlineStr">
        <is>
          <t>Mission Coordinator</t>
        </is>
      </c>
      <c r="C135" t="inlineStr">
        <is>
          <t>Non-SCA</t>
        </is>
      </c>
      <c r="D135" t="inlineStr">
        <is>
          <t>Exempt</t>
        </is>
      </c>
      <c r="E135" s="5" t="n">
        <v>85</v>
      </c>
      <c r="F135" s="4" t="n">
        <v>11153.33333333333</v>
      </c>
      <c r="G135" s="5">
        <f>E135*F135</f>
        <v/>
      </c>
      <c r="H135" s="5">
        <f>G135*0.35</f>
        <v/>
      </c>
      <c r="I135" s="5">
        <f>(G135+H135)*0.05</f>
        <v/>
      </c>
      <c r="J135" s="5">
        <f>(G135+H135+I135)*0.03</f>
        <v/>
      </c>
      <c r="K135" s="5">
        <f>G135+H135+I135+J135</f>
        <v/>
      </c>
      <c r="L135" s="5">
        <f>K135*0.08</f>
        <v/>
      </c>
      <c r="M135" s="5">
        <f>K135+L135</f>
        <v/>
      </c>
      <c r="N135" s="4" t="n">
        <v>2230.666666666667</v>
      </c>
      <c r="O135" s="5">
        <f>(E135*N135)*1.35*1.05*1.03*1.08</f>
        <v/>
      </c>
      <c r="P135" s="4" t="n">
        <v>2230.666666666667</v>
      </c>
      <c r="Q135" s="5">
        <f>(E135*P135)*1.35*1.05*1.03*1.08</f>
        <v/>
      </c>
      <c r="R135" s="4" t="n">
        <v>2230.666666666667</v>
      </c>
      <c r="S135" s="5">
        <f>(E135*R135)*1.35*1.05*1.03*1.08</f>
        <v/>
      </c>
      <c r="T135" s="4" t="n">
        <v>2230.666666666667</v>
      </c>
      <c r="U135" s="5">
        <f>(E135*T135)*1.35*1.05*1.03*1.08</f>
        <v/>
      </c>
      <c r="V135" s="4">
        <f>F135+N135+P135+R135+T135</f>
        <v/>
      </c>
      <c r="W135" s="5">
        <f>M135+O135+Q135+S135+U135</f>
        <v/>
      </c>
    </row>
    <row r="136">
      <c r="A136" t="inlineStr">
        <is>
          <t>MTEN - Camp Lejeune</t>
        </is>
      </c>
      <c r="B136" t="inlineStr">
        <is>
          <t>Network Administrator III</t>
        </is>
      </c>
      <c r="C136" t="inlineStr">
        <is>
          <t>Non-SCA</t>
        </is>
      </c>
      <c r="D136" t="inlineStr">
        <is>
          <t>Exempt</t>
        </is>
      </c>
      <c r="E136" s="5" t="n">
        <v>80</v>
      </c>
      <c r="F136" s="4" t="n">
        <v>6373.333333333334</v>
      </c>
      <c r="G136" s="5">
        <f>E136*F136</f>
        <v/>
      </c>
      <c r="H136" s="5">
        <f>G136*0.35</f>
        <v/>
      </c>
      <c r="I136" s="5">
        <f>(G136+H136)*0.05</f>
        <v/>
      </c>
      <c r="J136" s="5">
        <f>(G136+H136+I136)*0.03</f>
        <v/>
      </c>
      <c r="K136" s="5">
        <f>G136+H136+I136+J136</f>
        <v/>
      </c>
      <c r="L136" s="5">
        <f>K136*0.08</f>
        <v/>
      </c>
      <c r="M136" s="5">
        <f>K136+L136</f>
        <v/>
      </c>
      <c r="N136" s="4" t="n">
        <v>1274.666666666667</v>
      </c>
      <c r="O136" s="5">
        <f>(E136*N136)*1.35*1.05*1.03*1.08</f>
        <v/>
      </c>
      <c r="P136" s="4" t="n">
        <v>1274.666666666667</v>
      </c>
      <c r="Q136" s="5">
        <f>(E136*P136)*1.35*1.05*1.03*1.08</f>
        <v/>
      </c>
      <c r="R136" s="4" t="n">
        <v>1274.666666666667</v>
      </c>
      <c r="S136" s="5">
        <f>(E136*R136)*1.35*1.05*1.03*1.08</f>
        <v/>
      </c>
      <c r="T136" s="4" t="n">
        <v>1274.666666666667</v>
      </c>
      <c r="U136" s="5">
        <f>(E136*T136)*1.35*1.05*1.03*1.08</f>
        <v/>
      </c>
      <c r="V136" s="4">
        <f>F136+N136+P136+R136+T136</f>
        <v/>
      </c>
      <c r="W136" s="5">
        <f>M136+O136+Q136+S136+U136</f>
        <v/>
      </c>
    </row>
    <row r="137">
      <c r="A137" t="inlineStr">
        <is>
          <t>MTEN - Camp Lejeune</t>
        </is>
      </c>
      <c r="B137" t="inlineStr">
        <is>
          <t>Network Administrator IV</t>
        </is>
      </c>
      <c r="C137" t="inlineStr">
        <is>
          <t>Non-SCA</t>
        </is>
      </c>
      <c r="D137" t="inlineStr">
        <is>
          <t>Exempt</t>
        </is>
      </c>
      <c r="E137" s="5" t="n">
        <v>80</v>
      </c>
      <c r="F137" s="4" t="n">
        <v>28680</v>
      </c>
      <c r="G137" s="5">
        <f>E137*F137</f>
        <v/>
      </c>
      <c r="H137" s="5">
        <f>G137*0.35</f>
        <v/>
      </c>
      <c r="I137" s="5">
        <f>(G137+H137)*0.05</f>
        <v/>
      </c>
      <c r="J137" s="5">
        <f>(G137+H137+I137)*0.03</f>
        <v/>
      </c>
      <c r="K137" s="5">
        <f>G137+H137+I137+J137</f>
        <v/>
      </c>
      <c r="L137" s="5">
        <f>K137*0.08</f>
        <v/>
      </c>
      <c r="M137" s="5">
        <f>K137+L137</f>
        <v/>
      </c>
      <c r="N137" s="4" t="n">
        <v>5736</v>
      </c>
      <c r="O137" s="5">
        <f>(E137*N137)*1.35*1.05*1.03*1.08</f>
        <v/>
      </c>
      <c r="P137" s="4" t="n">
        <v>5736</v>
      </c>
      <c r="Q137" s="5">
        <f>(E137*P137)*1.35*1.05*1.03*1.08</f>
        <v/>
      </c>
      <c r="R137" s="4" t="n">
        <v>5736</v>
      </c>
      <c r="S137" s="5">
        <f>(E137*R137)*1.35*1.05*1.03*1.08</f>
        <v/>
      </c>
      <c r="T137" s="4" t="n">
        <v>5736</v>
      </c>
      <c r="U137" s="5">
        <f>(E137*T137)*1.35*1.05*1.03*1.08</f>
        <v/>
      </c>
      <c r="V137" s="4">
        <f>F137+N137+P137+R137+T137</f>
        <v/>
      </c>
      <c r="W137" s="5">
        <f>M137+O137+Q137+S137+U137</f>
        <v/>
      </c>
    </row>
    <row r="138">
      <c r="A138" t="inlineStr">
        <is>
          <t>MTEN - Camp Lejeune</t>
        </is>
      </c>
      <c r="B138" t="inlineStr">
        <is>
          <t>Network Engineer IV</t>
        </is>
      </c>
      <c r="C138" t="inlineStr">
        <is>
          <t>Non-SCA</t>
        </is>
      </c>
      <c r="D138" t="inlineStr">
        <is>
          <t>Exempt</t>
        </is>
      </c>
      <c r="E138" s="5" t="n">
        <v>95</v>
      </c>
      <c r="F138" s="4" t="n">
        <v>11153.33333333333</v>
      </c>
      <c r="G138" s="5">
        <f>E138*F138</f>
        <v/>
      </c>
      <c r="H138" s="5">
        <f>G138*0.35</f>
        <v/>
      </c>
      <c r="I138" s="5">
        <f>(G138+H138)*0.05</f>
        <v/>
      </c>
      <c r="J138" s="5">
        <f>(G138+H138+I138)*0.03</f>
        <v/>
      </c>
      <c r="K138" s="5">
        <f>G138+H138+I138+J138</f>
        <v/>
      </c>
      <c r="L138" s="5">
        <f>K138*0.08</f>
        <v/>
      </c>
      <c r="M138" s="5">
        <f>K138+L138</f>
        <v/>
      </c>
      <c r="N138" s="4" t="n">
        <v>2230.666666666667</v>
      </c>
      <c r="O138" s="5">
        <f>(E138*N138)*1.35*1.05*1.03*1.08</f>
        <v/>
      </c>
      <c r="P138" s="4" t="n">
        <v>2230.666666666667</v>
      </c>
      <c r="Q138" s="5">
        <f>(E138*P138)*1.35*1.05*1.03*1.08</f>
        <v/>
      </c>
      <c r="R138" s="4" t="n">
        <v>2230.666666666667</v>
      </c>
      <c r="S138" s="5">
        <f>(E138*R138)*1.35*1.05*1.03*1.08</f>
        <v/>
      </c>
      <c r="T138" s="4" t="n">
        <v>2230.666666666667</v>
      </c>
      <c r="U138" s="5">
        <f>(E138*T138)*1.35*1.05*1.03*1.08</f>
        <v/>
      </c>
      <c r="V138" s="4">
        <f>F138+N138+P138+R138+T138</f>
        <v/>
      </c>
      <c r="W138" s="5">
        <f>M138+O138+Q138+S138+U138</f>
        <v/>
      </c>
    </row>
    <row r="139">
      <c r="A139" t="inlineStr">
        <is>
          <t>MTEN - Camp Lejeune</t>
        </is>
      </c>
      <c r="B139" t="inlineStr">
        <is>
          <t>Tactical Data Link Analyst</t>
        </is>
      </c>
      <c r="C139" t="inlineStr">
        <is>
          <t>Non-SCA</t>
        </is>
      </c>
      <c r="D139" t="inlineStr">
        <is>
          <t>Exempt</t>
        </is>
      </c>
      <c r="E139" s="5" t="n">
        <v>75</v>
      </c>
      <c r="F139" s="4" t="n">
        <v>11153.33333333333</v>
      </c>
      <c r="G139" s="5">
        <f>E139*F139</f>
        <v/>
      </c>
      <c r="H139" s="5">
        <f>G139*0.35</f>
        <v/>
      </c>
      <c r="I139" s="5">
        <f>(G139+H139)*0.05</f>
        <v/>
      </c>
      <c r="J139" s="5">
        <f>(G139+H139+I139)*0.03</f>
        <v/>
      </c>
      <c r="K139" s="5">
        <f>G139+H139+I139+J139</f>
        <v/>
      </c>
      <c r="L139" s="5">
        <f>K139*0.08</f>
        <v/>
      </c>
      <c r="M139" s="5">
        <f>K139+L139</f>
        <v/>
      </c>
      <c r="N139" s="4" t="n">
        <v>2230.666666666667</v>
      </c>
      <c r="O139" s="5">
        <f>(E139*N139)*1.35*1.05*1.03*1.08</f>
        <v/>
      </c>
      <c r="P139" s="4" t="n">
        <v>2230.666666666667</v>
      </c>
      <c r="Q139" s="5">
        <f>(E139*P139)*1.35*1.05*1.03*1.08</f>
        <v/>
      </c>
      <c r="R139" s="4" t="n">
        <v>2230.666666666667</v>
      </c>
      <c r="S139" s="5">
        <f>(E139*R139)*1.35*1.05*1.03*1.08</f>
        <v/>
      </c>
      <c r="T139" s="4" t="n">
        <v>2230.666666666667</v>
      </c>
      <c r="U139" s="5">
        <f>(E139*T139)*1.35*1.05*1.03*1.08</f>
        <v/>
      </c>
      <c r="V139" s="4">
        <f>F139+N139+P139+R139+T139</f>
        <v/>
      </c>
      <c r="W139" s="5">
        <f>M139+O139+Q139+S139+U139</f>
        <v/>
      </c>
    </row>
    <row r="140">
      <c r="A140" t="inlineStr">
        <is>
          <t>MTEN - Camp Lejeune</t>
        </is>
      </c>
      <c r="B140" t="inlineStr">
        <is>
          <t>Technical Support Specialist</t>
        </is>
      </c>
      <c r="C140" t="inlineStr">
        <is>
          <t>Non-SCA</t>
        </is>
      </c>
      <c r="D140" t="inlineStr">
        <is>
          <t>Exempt</t>
        </is>
      </c>
      <c r="E140" s="5" t="n">
        <v>80</v>
      </c>
      <c r="F140" s="4" t="n">
        <v>22306.66666666666</v>
      </c>
      <c r="G140" s="5">
        <f>E140*F140</f>
        <v/>
      </c>
      <c r="H140" s="5">
        <f>G140*0.35</f>
        <v/>
      </c>
      <c r="I140" s="5">
        <f>(G140+H140)*0.05</f>
        <v/>
      </c>
      <c r="J140" s="5">
        <f>(G140+H140+I140)*0.03</f>
        <v/>
      </c>
      <c r="K140" s="5">
        <f>G140+H140+I140+J140</f>
        <v/>
      </c>
      <c r="L140" s="5">
        <f>K140*0.08</f>
        <v/>
      </c>
      <c r="M140" s="5">
        <f>K140+L140</f>
        <v/>
      </c>
      <c r="N140" s="4" t="n">
        <v>4461.333333333333</v>
      </c>
      <c r="O140" s="5">
        <f>(E140*N140)*1.35*1.05*1.03*1.08</f>
        <v/>
      </c>
      <c r="P140" s="4" t="n">
        <v>4461.333333333333</v>
      </c>
      <c r="Q140" s="5">
        <f>(E140*P140)*1.35*1.05*1.03*1.08</f>
        <v/>
      </c>
      <c r="R140" s="4" t="n">
        <v>4461.333333333333</v>
      </c>
      <c r="S140" s="5">
        <f>(E140*R140)*1.35*1.05*1.03*1.08</f>
        <v/>
      </c>
      <c r="T140" s="4" t="n">
        <v>4461.333333333333</v>
      </c>
      <c r="U140" s="5">
        <f>(E140*T140)*1.35*1.05*1.03*1.08</f>
        <v/>
      </c>
      <c r="V140" s="4">
        <f>F140+N140+P140+R140+T140</f>
        <v/>
      </c>
      <c r="W140" s="5">
        <f>M140+O140+Q140+S140+U140</f>
        <v/>
      </c>
    </row>
    <row r="141">
      <c r="A141" t="inlineStr">
        <is>
          <t>MTEN - Camp Pendleton</t>
        </is>
      </c>
      <c r="B141" t="inlineStr">
        <is>
          <t>Cybersecurity Analyst III</t>
        </is>
      </c>
      <c r="C141" t="inlineStr">
        <is>
          <t>Non-SCA</t>
        </is>
      </c>
      <c r="D141" t="inlineStr">
        <is>
          <t>Exempt</t>
        </is>
      </c>
      <c r="E141" s="5" t="n">
        <v>80</v>
      </c>
      <c r="F141" s="4" t="n">
        <v>3186.666666666667</v>
      </c>
      <c r="G141" s="5">
        <f>E141*F141</f>
        <v/>
      </c>
      <c r="H141" s="5">
        <f>G141*0.35</f>
        <v/>
      </c>
      <c r="I141" s="5">
        <f>(G141+H141)*0.05</f>
        <v/>
      </c>
      <c r="J141" s="5">
        <f>(G141+H141+I141)*0.03</f>
        <v/>
      </c>
      <c r="K141" s="5">
        <f>G141+H141+I141+J141</f>
        <v/>
      </c>
      <c r="L141" s="5">
        <f>K141*0.08</f>
        <v/>
      </c>
      <c r="M141" s="5">
        <f>K141+L141</f>
        <v/>
      </c>
      <c r="N141" s="4" t="n">
        <v>637.3333333333334</v>
      </c>
      <c r="O141" s="5">
        <f>(E141*N141)*1.35*1.05*1.03*1.08</f>
        <v/>
      </c>
      <c r="P141" s="4" t="n">
        <v>637.3333333333334</v>
      </c>
      <c r="Q141" s="5">
        <f>(E141*P141)*1.35*1.05*1.03*1.08</f>
        <v/>
      </c>
      <c r="R141" s="4" t="n">
        <v>637.3333333333334</v>
      </c>
      <c r="S141" s="5">
        <f>(E141*R141)*1.35*1.05*1.03*1.08</f>
        <v/>
      </c>
      <c r="T141" s="4" t="n">
        <v>637.3333333333334</v>
      </c>
      <c r="U141" s="5">
        <f>(E141*T141)*1.35*1.05*1.03*1.08</f>
        <v/>
      </c>
      <c r="V141" s="4">
        <f>F141+N141+P141+R141+T141</f>
        <v/>
      </c>
      <c r="W141" s="5">
        <f>M141+O141+Q141+S141+U141</f>
        <v/>
      </c>
    </row>
    <row r="142">
      <c r="A142" t="inlineStr">
        <is>
          <t>MTEN - Camp Pendleton</t>
        </is>
      </c>
      <c r="B142" t="inlineStr">
        <is>
          <t>Cybersecurity Analyst IV</t>
        </is>
      </c>
      <c r="C142" t="inlineStr">
        <is>
          <t>Non-SCA</t>
        </is>
      </c>
      <c r="D142" t="inlineStr">
        <is>
          <t>Exempt</t>
        </is>
      </c>
      <c r="E142" s="5" t="n">
        <v>80</v>
      </c>
      <c r="F142" s="4" t="n">
        <v>3186.666666666667</v>
      </c>
      <c r="G142" s="5">
        <f>E142*F142</f>
        <v/>
      </c>
      <c r="H142" s="5">
        <f>G142*0.35</f>
        <v/>
      </c>
      <c r="I142" s="5">
        <f>(G142+H142)*0.05</f>
        <v/>
      </c>
      <c r="J142" s="5">
        <f>(G142+H142+I142)*0.03</f>
        <v/>
      </c>
      <c r="K142" s="5">
        <f>G142+H142+I142+J142</f>
        <v/>
      </c>
      <c r="L142" s="5">
        <f>K142*0.08</f>
        <v/>
      </c>
      <c r="M142" s="5">
        <f>K142+L142</f>
        <v/>
      </c>
      <c r="N142" s="4" t="n">
        <v>637.3333333333334</v>
      </c>
      <c r="O142" s="5">
        <f>(E142*N142)*1.35*1.05*1.03*1.08</f>
        <v/>
      </c>
      <c r="P142" s="4" t="n">
        <v>637.3333333333334</v>
      </c>
      <c r="Q142" s="5">
        <f>(E142*P142)*1.35*1.05*1.03*1.08</f>
        <v/>
      </c>
      <c r="R142" s="4" t="n">
        <v>637.3333333333334</v>
      </c>
      <c r="S142" s="5">
        <f>(E142*R142)*1.35*1.05*1.03*1.08</f>
        <v/>
      </c>
      <c r="T142" s="4" t="n">
        <v>637.3333333333334</v>
      </c>
      <c r="U142" s="5">
        <f>(E142*T142)*1.35*1.05*1.03*1.08</f>
        <v/>
      </c>
      <c r="V142" s="4">
        <f>F142+N142+P142+R142+T142</f>
        <v/>
      </c>
      <c r="W142" s="5">
        <f>M142+O142+Q142+S142+U142</f>
        <v/>
      </c>
    </row>
    <row r="143">
      <c r="A143" t="inlineStr">
        <is>
          <t>MTEN - Camp Pendleton</t>
        </is>
      </c>
      <c r="B143" t="inlineStr">
        <is>
          <t>Mission Coordinator</t>
        </is>
      </c>
      <c r="C143" t="inlineStr">
        <is>
          <t>Non-SCA</t>
        </is>
      </c>
      <c r="D143" t="inlineStr">
        <is>
          <t>Exempt</t>
        </is>
      </c>
      <c r="E143" s="5" t="n">
        <v>85</v>
      </c>
      <c r="F143" s="4" t="n">
        <v>11153.33333333333</v>
      </c>
      <c r="G143" s="5">
        <f>E143*F143</f>
        <v/>
      </c>
      <c r="H143" s="5">
        <f>G143*0.35</f>
        <v/>
      </c>
      <c r="I143" s="5">
        <f>(G143+H143)*0.05</f>
        <v/>
      </c>
      <c r="J143" s="5">
        <f>(G143+H143+I143)*0.03</f>
        <v/>
      </c>
      <c r="K143" s="5">
        <f>G143+H143+I143+J143</f>
        <v/>
      </c>
      <c r="L143" s="5">
        <f>K143*0.08</f>
        <v/>
      </c>
      <c r="M143" s="5">
        <f>K143+L143</f>
        <v/>
      </c>
      <c r="N143" s="4" t="n">
        <v>2230.666666666667</v>
      </c>
      <c r="O143" s="5">
        <f>(E143*N143)*1.35*1.05*1.03*1.08</f>
        <v/>
      </c>
      <c r="P143" s="4" t="n">
        <v>2230.666666666667</v>
      </c>
      <c r="Q143" s="5">
        <f>(E143*P143)*1.35*1.05*1.03*1.08</f>
        <v/>
      </c>
      <c r="R143" s="4" t="n">
        <v>2230.666666666667</v>
      </c>
      <c r="S143" s="5">
        <f>(E143*R143)*1.35*1.05*1.03*1.08</f>
        <v/>
      </c>
      <c r="T143" s="4" t="n">
        <v>2230.666666666667</v>
      </c>
      <c r="U143" s="5">
        <f>(E143*T143)*1.35*1.05*1.03*1.08</f>
        <v/>
      </c>
      <c r="V143" s="4">
        <f>F143+N143+P143+R143+T143</f>
        <v/>
      </c>
      <c r="W143" s="5">
        <f>M143+O143+Q143+S143+U143</f>
        <v/>
      </c>
    </row>
    <row r="144">
      <c r="A144" t="inlineStr">
        <is>
          <t>MTEN - Camp Pendleton</t>
        </is>
      </c>
      <c r="B144" t="inlineStr">
        <is>
          <t>Network Administrator III</t>
        </is>
      </c>
      <c r="C144" t="inlineStr">
        <is>
          <t>Non-SCA</t>
        </is>
      </c>
      <c r="D144" t="inlineStr">
        <is>
          <t>Exempt</t>
        </is>
      </c>
      <c r="E144" s="5" t="n">
        <v>80</v>
      </c>
      <c r="F144" s="4" t="n">
        <v>6373.333333333334</v>
      </c>
      <c r="G144" s="5">
        <f>E144*F144</f>
        <v/>
      </c>
      <c r="H144" s="5">
        <f>G144*0.35</f>
        <v/>
      </c>
      <c r="I144" s="5">
        <f>(G144+H144)*0.05</f>
        <v/>
      </c>
      <c r="J144" s="5">
        <f>(G144+H144+I144)*0.03</f>
        <v/>
      </c>
      <c r="K144" s="5">
        <f>G144+H144+I144+J144</f>
        <v/>
      </c>
      <c r="L144" s="5">
        <f>K144*0.08</f>
        <v/>
      </c>
      <c r="M144" s="5">
        <f>K144+L144</f>
        <v/>
      </c>
      <c r="N144" s="4" t="n">
        <v>1274.666666666667</v>
      </c>
      <c r="O144" s="5">
        <f>(E144*N144)*1.35*1.05*1.03*1.08</f>
        <v/>
      </c>
      <c r="P144" s="4" t="n">
        <v>1274.666666666667</v>
      </c>
      <c r="Q144" s="5">
        <f>(E144*P144)*1.35*1.05*1.03*1.08</f>
        <v/>
      </c>
      <c r="R144" s="4" t="n">
        <v>1274.666666666667</v>
      </c>
      <c r="S144" s="5">
        <f>(E144*R144)*1.35*1.05*1.03*1.08</f>
        <v/>
      </c>
      <c r="T144" s="4" t="n">
        <v>1274.666666666667</v>
      </c>
      <c r="U144" s="5">
        <f>(E144*T144)*1.35*1.05*1.03*1.08</f>
        <v/>
      </c>
      <c r="V144" s="4">
        <f>F144+N144+P144+R144+T144</f>
        <v/>
      </c>
      <c r="W144" s="5">
        <f>M144+O144+Q144+S144+U144</f>
        <v/>
      </c>
    </row>
    <row r="145">
      <c r="A145" t="inlineStr">
        <is>
          <t>MTEN - Camp Pendleton</t>
        </is>
      </c>
      <c r="B145" t="inlineStr">
        <is>
          <t>Network Administrator IV</t>
        </is>
      </c>
      <c r="C145" t="inlineStr">
        <is>
          <t>Non-SCA</t>
        </is>
      </c>
      <c r="D145" t="inlineStr">
        <is>
          <t>Exempt</t>
        </is>
      </c>
      <c r="E145" s="5" t="n">
        <v>80</v>
      </c>
      <c r="F145" s="4" t="n">
        <v>28680</v>
      </c>
      <c r="G145" s="5">
        <f>E145*F145</f>
        <v/>
      </c>
      <c r="H145" s="5">
        <f>G145*0.35</f>
        <v/>
      </c>
      <c r="I145" s="5">
        <f>(G145+H145)*0.05</f>
        <v/>
      </c>
      <c r="J145" s="5">
        <f>(G145+H145+I145)*0.03</f>
        <v/>
      </c>
      <c r="K145" s="5">
        <f>G145+H145+I145+J145</f>
        <v/>
      </c>
      <c r="L145" s="5">
        <f>K145*0.08</f>
        <v/>
      </c>
      <c r="M145" s="5">
        <f>K145+L145</f>
        <v/>
      </c>
      <c r="N145" s="4" t="n">
        <v>5736</v>
      </c>
      <c r="O145" s="5">
        <f>(E145*N145)*1.35*1.05*1.03*1.08</f>
        <v/>
      </c>
      <c r="P145" s="4" t="n">
        <v>5736</v>
      </c>
      <c r="Q145" s="5">
        <f>(E145*P145)*1.35*1.05*1.03*1.08</f>
        <v/>
      </c>
      <c r="R145" s="4" t="n">
        <v>5736</v>
      </c>
      <c r="S145" s="5">
        <f>(E145*R145)*1.35*1.05*1.03*1.08</f>
        <v/>
      </c>
      <c r="T145" s="4" t="n">
        <v>5736</v>
      </c>
      <c r="U145" s="5">
        <f>(E145*T145)*1.35*1.05*1.03*1.08</f>
        <v/>
      </c>
      <c r="V145" s="4">
        <f>F145+N145+P145+R145+T145</f>
        <v/>
      </c>
      <c r="W145" s="5">
        <f>M145+O145+Q145+S145+U145</f>
        <v/>
      </c>
    </row>
    <row r="146">
      <c r="A146" t="inlineStr">
        <is>
          <t>MTEN - Camp Pendleton</t>
        </is>
      </c>
      <c r="B146" t="inlineStr">
        <is>
          <t>Network Engineer IV</t>
        </is>
      </c>
      <c r="C146" t="inlineStr">
        <is>
          <t>Non-SCA</t>
        </is>
      </c>
      <c r="D146" t="inlineStr">
        <is>
          <t>Exempt</t>
        </is>
      </c>
      <c r="E146" s="5" t="n">
        <v>95</v>
      </c>
      <c r="F146" s="4" t="n">
        <v>11153.33333333333</v>
      </c>
      <c r="G146" s="5">
        <f>E146*F146</f>
        <v/>
      </c>
      <c r="H146" s="5">
        <f>G146*0.35</f>
        <v/>
      </c>
      <c r="I146" s="5">
        <f>(G146+H146)*0.05</f>
        <v/>
      </c>
      <c r="J146" s="5">
        <f>(G146+H146+I146)*0.03</f>
        <v/>
      </c>
      <c r="K146" s="5">
        <f>G146+H146+I146+J146</f>
        <v/>
      </c>
      <c r="L146" s="5">
        <f>K146*0.08</f>
        <v/>
      </c>
      <c r="M146" s="5">
        <f>K146+L146</f>
        <v/>
      </c>
      <c r="N146" s="4" t="n">
        <v>2230.666666666667</v>
      </c>
      <c r="O146" s="5">
        <f>(E146*N146)*1.35*1.05*1.03*1.08</f>
        <v/>
      </c>
      <c r="P146" s="4" t="n">
        <v>2230.666666666667</v>
      </c>
      <c r="Q146" s="5">
        <f>(E146*P146)*1.35*1.05*1.03*1.08</f>
        <v/>
      </c>
      <c r="R146" s="4" t="n">
        <v>2230.666666666667</v>
      </c>
      <c r="S146" s="5">
        <f>(E146*R146)*1.35*1.05*1.03*1.08</f>
        <v/>
      </c>
      <c r="T146" s="4" t="n">
        <v>2230.666666666667</v>
      </c>
      <c r="U146" s="5">
        <f>(E146*T146)*1.35*1.05*1.03*1.08</f>
        <v/>
      </c>
      <c r="V146" s="4">
        <f>F146+N146+P146+R146+T146</f>
        <v/>
      </c>
      <c r="W146" s="5">
        <f>M146+O146+Q146+S146+U146</f>
        <v/>
      </c>
    </row>
    <row r="147">
      <c r="A147" t="inlineStr">
        <is>
          <t>MTEN - Camp Pendleton</t>
        </is>
      </c>
      <c r="B147" t="inlineStr">
        <is>
          <t>Tactical Data Link Analyst</t>
        </is>
      </c>
      <c r="C147" t="inlineStr">
        <is>
          <t>Non-SCA</t>
        </is>
      </c>
      <c r="D147" t="inlineStr">
        <is>
          <t>Exempt</t>
        </is>
      </c>
      <c r="E147" s="5" t="n">
        <v>75</v>
      </c>
      <c r="F147" s="4" t="n">
        <v>11153.33333333333</v>
      </c>
      <c r="G147" s="5">
        <f>E147*F147</f>
        <v/>
      </c>
      <c r="H147" s="5">
        <f>G147*0.35</f>
        <v/>
      </c>
      <c r="I147" s="5">
        <f>(G147+H147)*0.05</f>
        <v/>
      </c>
      <c r="J147" s="5">
        <f>(G147+H147+I147)*0.03</f>
        <v/>
      </c>
      <c r="K147" s="5">
        <f>G147+H147+I147+J147</f>
        <v/>
      </c>
      <c r="L147" s="5">
        <f>K147*0.08</f>
        <v/>
      </c>
      <c r="M147" s="5">
        <f>K147+L147</f>
        <v/>
      </c>
      <c r="N147" s="4" t="n">
        <v>2230.666666666667</v>
      </c>
      <c r="O147" s="5">
        <f>(E147*N147)*1.35*1.05*1.03*1.08</f>
        <v/>
      </c>
      <c r="P147" s="4" t="n">
        <v>2230.666666666667</v>
      </c>
      <c r="Q147" s="5">
        <f>(E147*P147)*1.35*1.05*1.03*1.08</f>
        <v/>
      </c>
      <c r="R147" s="4" t="n">
        <v>2230.666666666667</v>
      </c>
      <c r="S147" s="5">
        <f>(E147*R147)*1.35*1.05*1.03*1.08</f>
        <v/>
      </c>
      <c r="T147" s="4" t="n">
        <v>2230.666666666667</v>
      </c>
      <c r="U147" s="5">
        <f>(E147*T147)*1.35*1.05*1.03*1.08</f>
        <v/>
      </c>
      <c r="V147" s="4">
        <f>F147+N147+P147+R147+T147</f>
        <v/>
      </c>
      <c r="W147" s="5">
        <f>M147+O147+Q147+S147+U147</f>
        <v/>
      </c>
    </row>
    <row r="148">
      <c r="A148" t="inlineStr">
        <is>
          <t>MTEN - Camp Pendleton</t>
        </is>
      </c>
      <c r="B148" t="inlineStr">
        <is>
          <t>Technical Support Specialist</t>
        </is>
      </c>
      <c r="C148" t="inlineStr">
        <is>
          <t>Non-SCA</t>
        </is>
      </c>
      <c r="D148" t="inlineStr">
        <is>
          <t>Exempt</t>
        </is>
      </c>
      <c r="E148" s="5" t="n">
        <v>80</v>
      </c>
      <c r="F148" s="4" t="n">
        <v>22306.66666666666</v>
      </c>
      <c r="G148" s="5">
        <f>E148*F148</f>
        <v/>
      </c>
      <c r="H148" s="5">
        <f>G148*0.35</f>
        <v/>
      </c>
      <c r="I148" s="5">
        <f>(G148+H148)*0.05</f>
        <v/>
      </c>
      <c r="J148" s="5">
        <f>(G148+H148+I148)*0.03</f>
        <v/>
      </c>
      <c r="K148" s="5">
        <f>G148+H148+I148+J148</f>
        <v/>
      </c>
      <c r="L148" s="5">
        <f>K148*0.08</f>
        <v/>
      </c>
      <c r="M148" s="5">
        <f>K148+L148</f>
        <v/>
      </c>
      <c r="N148" s="4" t="n">
        <v>4461.333333333333</v>
      </c>
      <c r="O148" s="5">
        <f>(E148*N148)*1.35*1.05*1.03*1.08</f>
        <v/>
      </c>
      <c r="P148" s="4" t="n">
        <v>4461.333333333333</v>
      </c>
      <c r="Q148" s="5">
        <f>(E148*P148)*1.35*1.05*1.03*1.08</f>
        <v/>
      </c>
      <c r="R148" s="4" t="n">
        <v>4461.333333333333</v>
      </c>
      <c r="S148" s="5">
        <f>(E148*R148)*1.35*1.05*1.03*1.08</f>
        <v/>
      </c>
      <c r="T148" s="4" t="n">
        <v>4461.333333333333</v>
      </c>
      <c r="U148" s="5">
        <f>(E148*T148)*1.35*1.05*1.03*1.08</f>
        <v/>
      </c>
      <c r="V148" s="4">
        <f>F148+N148+P148+R148+T148</f>
        <v/>
      </c>
      <c r="W148" s="5">
        <f>M148+O148+Q148+S148+U148</f>
        <v/>
      </c>
    </row>
    <row r="149">
      <c r="A149" t="inlineStr">
        <is>
          <t>MTEN - MCB Kaneohe Bay</t>
        </is>
      </c>
      <c r="B149" t="inlineStr">
        <is>
          <t>Cybersecurity Analyst III</t>
        </is>
      </c>
      <c r="C149" t="inlineStr">
        <is>
          <t>Non-SCA</t>
        </is>
      </c>
      <c r="D149" t="inlineStr">
        <is>
          <t>Exempt</t>
        </is>
      </c>
      <c r="E149" s="5" t="n">
        <v>80</v>
      </c>
      <c r="F149" s="4" t="n">
        <v>3186.666666666667</v>
      </c>
      <c r="G149" s="5">
        <f>E149*F149</f>
        <v/>
      </c>
      <c r="H149" s="5">
        <f>G149*0.35</f>
        <v/>
      </c>
      <c r="I149" s="5">
        <f>(G149+H149)*0.05</f>
        <v/>
      </c>
      <c r="J149" s="5">
        <f>(G149+H149+I149)*0.03</f>
        <v/>
      </c>
      <c r="K149" s="5">
        <f>G149+H149+I149+J149</f>
        <v/>
      </c>
      <c r="L149" s="5">
        <f>K149*0.08</f>
        <v/>
      </c>
      <c r="M149" s="5">
        <f>K149+L149</f>
        <v/>
      </c>
      <c r="N149" s="4" t="n">
        <v>637.3333333333334</v>
      </c>
      <c r="O149" s="5">
        <f>(E149*N149)*1.35*1.05*1.03*1.08</f>
        <v/>
      </c>
      <c r="P149" s="4" t="n">
        <v>637.3333333333334</v>
      </c>
      <c r="Q149" s="5">
        <f>(E149*P149)*1.35*1.05*1.03*1.08</f>
        <v/>
      </c>
      <c r="R149" s="4" t="n">
        <v>637.3333333333334</v>
      </c>
      <c r="S149" s="5">
        <f>(E149*R149)*1.35*1.05*1.03*1.08</f>
        <v/>
      </c>
      <c r="T149" s="4" t="n">
        <v>637.3333333333334</v>
      </c>
      <c r="U149" s="5">
        <f>(E149*T149)*1.35*1.05*1.03*1.08</f>
        <v/>
      </c>
      <c r="V149" s="4">
        <f>F149+N149+P149+R149+T149</f>
        <v/>
      </c>
      <c r="W149" s="5">
        <f>M149+O149+Q149+S149+U149</f>
        <v/>
      </c>
    </row>
    <row r="150">
      <c r="A150" t="inlineStr">
        <is>
          <t>MTEN - MCB Kaneohe Bay</t>
        </is>
      </c>
      <c r="B150" t="inlineStr">
        <is>
          <t>Cybersecurity Analyst IV</t>
        </is>
      </c>
      <c r="C150" t="inlineStr">
        <is>
          <t>Non-SCA</t>
        </is>
      </c>
      <c r="D150" t="inlineStr">
        <is>
          <t>Exempt</t>
        </is>
      </c>
      <c r="E150" s="5" t="n">
        <v>80</v>
      </c>
      <c r="F150" s="4" t="n">
        <v>3186.666666666667</v>
      </c>
      <c r="G150" s="5">
        <f>E150*F150</f>
        <v/>
      </c>
      <c r="H150" s="5">
        <f>G150*0.35</f>
        <v/>
      </c>
      <c r="I150" s="5">
        <f>(G150+H150)*0.05</f>
        <v/>
      </c>
      <c r="J150" s="5">
        <f>(G150+H150+I150)*0.03</f>
        <v/>
      </c>
      <c r="K150" s="5">
        <f>G150+H150+I150+J150</f>
        <v/>
      </c>
      <c r="L150" s="5">
        <f>K150*0.08</f>
        <v/>
      </c>
      <c r="M150" s="5">
        <f>K150+L150</f>
        <v/>
      </c>
      <c r="N150" s="4" t="n">
        <v>637.3333333333334</v>
      </c>
      <c r="O150" s="5">
        <f>(E150*N150)*1.35*1.05*1.03*1.08</f>
        <v/>
      </c>
      <c r="P150" s="4" t="n">
        <v>637.3333333333334</v>
      </c>
      <c r="Q150" s="5">
        <f>(E150*P150)*1.35*1.05*1.03*1.08</f>
        <v/>
      </c>
      <c r="R150" s="4" t="n">
        <v>637.3333333333334</v>
      </c>
      <c r="S150" s="5">
        <f>(E150*R150)*1.35*1.05*1.03*1.08</f>
        <v/>
      </c>
      <c r="T150" s="4" t="n">
        <v>637.3333333333334</v>
      </c>
      <c r="U150" s="5">
        <f>(E150*T150)*1.35*1.05*1.03*1.08</f>
        <v/>
      </c>
      <c r="V150" s="4">
        <f>F150+N150+P150+R150+T150</f>
        <v/>
      </c>
      <c r="W150" s="5">
        <f>M150+O150+Q150+S150+U150</f>
        <v/>
      </c>
    </row>
    <row r="151">
      <c r="A151" t="inlineStr">
        <is>
          <t>MTEN - MCB Kaneohe Bay</t>
        </is>
      </c>
      <c r="B151" t="inlineStr">
        <is>
          <t>Mission Coordinator</t>
        </is>
      </c>
      <c r="C151" t="inlineStr">
        <is>
          <t>Non-SCA</t>
        </is>
      </c>
      <c r="D151" t="inlineStr">
        <is>
          <t>Exempt</t>
        </is>
      </c>
      <c r="E151" s="5" t="n">
        <v>85</v>
      </c>
      <c r="F151" s="4" t="n">
        <v>11153.33333333333</v>
      </c>
      <c r="G151" s="5">
        <f>E151*F151</f>
        <v/>
      </c>
      <c r="H151" s="5">
        <f>G151*0.35</f>
        <v/>
      </c>
      <c r="I151" s="5">
        <f>(G151+H151)*0.05</f>
        <v/>
      </c>
      <c r="J151" s="5">
        <f>(G151+H151+I151)*0.03</f>
        <v/>
      </c>
      <c r="K151" s="5">
        <f>G151+H151+I151+J151</f>
        <v/>
      </c>
      <c r="L151" s="5">
        <f>K151*0.08</f>
        <v/>
      </c>
      <c r="M151" s="5">
        <f>K151+L151</f>
        <v/>
      </c>
      <c r="N151" s="4" t="n">
        <v>2230.666666666667</v>
      </c>
      <c r="O151" s="5">
        <f>(E151*N151)*1.35*1.05*1.03*1.08</f>
        <v/>
      </c>
      <c r="P151" s="4" t="n">
        <v>2230.666666666667</v>
      </c>
      <c r="Q151" s="5">
        <f>(E151*P151)*1.35*1.05*1.03*1.08</f>
        <v/>
      </c>
      <c r="R151" s="4" t="n">
        <v>2230.666666666667</v>
      </c>
      <c r="S151" s="5">
        <f>(E151*R151)*1.35*1.05*1.03*1.08</f>
        <v/>
      </c>
      <c r="T151" s="4" t="n">
        <v>2230.666666666667</v>
      </c>
      <c r="U151" s="5">
        <f>(E151*T151)*1.35*1.05*1.03*1.08</f>
        <v/>
      </c>
      <c r="V151" s="4">
        <f>F151+N151+P151+R151+T151</f>
        <v/>
      </c>
      <c r="W151" s="5">
        <f>M151+O151+Q151+S151+U151</f>
        <v/>
      </c>
    </row>
    <row r="152">
      <c r="A152" t="inlineStr">
        <is>
          <t>MTEN - MCB Kaneohe Bay</t>
        </is>
      </c>
      <c r="B152" t="inlineStr">
        <is>
          <t>Network Administrator III</t>
        </is>
      </c>
      <c r="C152" t="inlineStr">
        <is>
          <t>Non-SCA</t>
        </is>
      </c>
      <c r="D152" t="inlineStr">
        <is>
          <t>Exempt</t>
        </is>
      </c>
      <c r="E152" s="5" t="n">
        <v>80</v>
      </c>
      <c r="F152" s="4" t="n">
        <v>6373.333333333334</v>
      </c>
      <c r="G152" s="5">
        <f>E152*F152</f>
        <v/>
      </c>
      <c r="H152" s="5">
        <f>G152*0.35</f>
        <v/>
      </c>
      <c r="I152" s="5">
        <f>(G152+H152)*0.05</f>
        <v/>
      </c>
      <c r="J152" s="5">
        <f>(G152+H152+I152)*0.03</f>
        <v/>
      </c>
      <c r="K152" s="5">
        <f>G152+H152+I152+J152</f>
        <v/>
      </c>
      <c r="L152" s="5">
        <f>K152*0.08</f>
        <v/>
      </c>
      <c r="M152" s="5">
        <f>K152+L152</f>
        <v/>
      </c>
      <c r="N152" s="4" t="n">
        <v>1274.666666666667</v>
      </c>
      <c r="O152" s="5">
        <f>(E152*N152)*1.35*1.05*1.03*1.08</f>
        <v/>
      </c>
      <c r="P152" s="4" t="n">
        <v>1274.666666666667</v>
      </c>
      <c r="Q152" s="5">
        <f>(E152*P152)*1.35*1.05*1.03*1.08</f>
        <v/>
      </c>
      <c r="R152" s="4" t="n">
        <v>1274.666666666667</v>
      </c>
      <c r="S152" s="5">
        <f>(E152*R152)*1.35*1.05*1.03*1.08</f>
        <v/>
      </c>
      <c r="T152" s="4" t="n">
        <v>1274.666666666667</v>
      </c>
      <c r="U152" s="5">
        <f>(E152*T152)*1.35*1.05*1.03*1.08</f>
        <v/>
      </c>
      <c r="V152" s="4">
        <f>F152+N152+P152+R152+T152</f>
        <v/>
      </c>
      <c r="W152" s="5">
        <f>M152+O152+Q152+S152+U152</f>
        <v/>
      </c>
    </row>
    <row r="153">
      <c r="A153" t="inlineStr">
        <is>
          <t>MTEN - MCB Kaneohe Bay</t>
        </is>
      </c>
      <c r="B153" t="inlineStr">
        <is>
          <t>Network Administrator IV</t>
        </is>
      </c>
      <c r="C153" t="inlineStr">
        <is>
          <t>Non-SCA</t>
        </is>
      </c>
      <c r="D153" t="inlineStr">
        <is>
          <t>Exempt</t>
        </is>
      </c>
      <c r="E153" s="5" t="n">
        <v>80</v>
      </c>
      <c r="F153" s="4" t="n">
        <v>28680</v>
      </c>
      <c r="G153" s="5">
        <f>E153*F153</f>
        <v/>
      </c>
      <c r="H153" s="5">
        <f>G153*0.35</f>
        <v/>
      </c>
      <c r="I153" s="5">
        <f>(G153+H153)*0.05</f>
        <v/>
      </c>
      <c r="J153" s="5">
        <f>(G153+H153+I153)*0.03</f>
        <v/>
      </c>
      <c r="K153" s="5">
        <f>G153+H153+I153+J153</f>
        <v/>
      </c>
      <c r="L153" s="5">
        <f>K153*0.08</f>
        <v/>
      </c>
      <c r="M153" s="5">
        <f>K153+L153</f>
        <v/>
      </c>
      <c r="N153" s="4" t="n">
        <v>5736</v>
      </c>
      <c r="O153" s="5">
        <f>(E153*N153)*1.35*1.05*1.03*1.08</f>
        <v/>
      </c>
      <c r="P153" s="4" t="n">
        <v>5736</v>
      </c>
      <c r="Q153" s="5">
        <f>(E153*P153)*1.35*1.05*1.03*1.08</f>
        <v/>
      </c>
      <c r="R153" s="4" t="n">
        <v>5736</v>
      </c>
      <c r="S153" s="5">
        <f>(E153*R153)*1.35*1.05*1.03*1.08</f>
        <v/>
      </c>
      <c r="T153" s="4" t="n">
        <v>5736</v>
      </c>
      <c r="U153" s="5">
        <f>(E153*T153)*1.35*1.05*1.03*1.08</f>
        <v/>
      </c>
      <c r="V153" s="4">
        <f>F153+N153+P153+R153+T153</f>
        <v/>
      </c>
      <c r="W153" s="5">
        <f>M153+O153+Q153+S153+U153</f>
        <v/>
      </c>
    </row>
    <row r="154">
      <c r="A154" t="inlineStr">
        <is>
          <t>MTEN - MCB Kaneohe Bay</t>
        </is>
      </c>
      <c r="B154" t="inlineStr">
        <is>
          <t>Network Engineer IV</t>
        </is>
      </c>
      <c r="C154" t="inlineStr">
        <is>
          <t>Non-SCA</t>
        </is>
      </c>
      <c r="D154" t="inlineStr">
        <is>
          <t>Exempt</t>
        </is>
      </c>
      <c r="E154" s="5" t="n">
        <v>95</v>
      </c>
      <c r="F154" s="4" t="n">
        <v>11153.33333333333</v>
      </c>
      <c r="G154" s="5">
        <f>E154*F154</f>
        <v/>
      </c>
      <c r="H154" s="5">
        <f>G154*0.35</f>
        <v/>
      </c>
      <c r="I154" s="5">
        <f>(G154+H154)*0.05</f>
        <v/>
      </c>
      <c r="J154" s="5">
        <f>(G154+H154+I154)*0.03</f>
        <v/>
      </c>
      <c r="K154" s="5">
        <f>G154+H154+I154+J154</f>
        <v/>
      </c>
      <c r="L154" s="5">
        <f>K154*0.08</f>
        <v/>
      </c>
      <c r="M154" s="5">
        <f>K154+L154</f>
        <v/>
      </c>
      <c r="N154" s="4" t="n">
        <v>2230.666666666667</v>
      </c>
      <c r="O154" s="5">
        <f>(E154*N154)*1.35*1.05*1.03*1.08</f>
        <v/>
      </c>
      <c r="P154" s="4" t="n">
        <v>2230.666666666667</v>
      </c>
      <c r="Q154" s="5">
        <f>(E154*P154)*1.35*1.05*1.03*1.08</f>
        <v/>
      </c>
      <c r="R154" s="4" t="n">
        <v>2230.666666666667</v>
      </c>
      <c r="S154" s="5">
        <f>(E154*R154)*1.35*1.05*1.03*1.08</f>
        <v/>
      </c>
      <c r="T154" s="4" t="n">
        <v>2230.666666666667</v>
      </c>
      <c r="U154" s="5">
        <f>(E154*T154)*1.35*1.05*1.03*1.08</f>
        <v/>
      </c>
      <c r="V154" s="4">
        <f>F154+N154+P154+R154+T154</f>
        <v/>
      </c>
      <c r="W154" s="5">
        <f>M154+O154+Q154+S154+U154</f>
        <v/>
      </c>
    </row>
    <row r="155">
      <c r="A155" t="inlineStr">
        <is>
          <t>MTEN - MCB Kaneohe Bay</t>
        </is>
      </c>
      <c r="B155" t="inlineStr">
        <is>
          <t>Tactical Data Link Analyst</t>
        </is>
      </c>
      <c r="C155" t="inlineStr">
        <is>
          <t>Non-SCA</t>
        </is>
      </c>
      <c r="D155" t="inlineStr">
        <is>
          <t>Exempt</t>
        </is>
      </c>
      <c r="E155" s="5" t="n">
        <v>75</v>
      </c>
      <c r="F155" s="4" t="n">
        <v>11153.33333333333</v>
      </c>
      <c r="G155" s="5">
        <f>E155*F155</f>
        <v/>
      </c>
      <c r="H155" s="5">
        <f>G155*0.35</f>
        <v/>
      </c>
      <c r="I155" s="5">
        <f>(G155+H155)*0.05</f>
        <v/>
      </c>
      <c r="J155" s="5">
        <f>(G155+H155+I155)*0.03</f>
        <v/>
      </c>
      <c r="K155" s="5">
        <f>G155+H155+I155+J155</f>
        <v/>
      </c>
      <c r="L155" s="5">
        <f>K155*0.08</f>
        <v/>
      </c>
      <c r="M155" s="5">
        <f>K155+L155</f>
        <v/>
      </c>
      <c r="N155" s="4" t="n">
        <v>2230.666666666667</v>
      </c>
      <c r="O155" s="5">
        <f>(E155*N155)*1.35*1.05*1.03*1.08</f>
        <v/>
      </c>
      <c r="P155" s="4" t="n">
        <v>2230.666666666667</v>
      </c>
      <c r="Q155" s="5">
        <f>(E155*P155)*1.35*1.05*1.03*1.08</f>
        <v/>
      </c>
      <c r="R155" s="4" t="n">
        <v>2230.666666666667</v>
      </c>
      <c r="S155" s="5">
        <f>(E155*R155)*1.35*1.05*1.03*1.08</f>
        <v/>
      </c>
      <c r="T155" s="4" t="n">
        <v>2230.666666666667</v>
      </c>
      <c r="U155" s="5">
        <f>(E155*T155)*1.35*1.05*1.03*1.08</f>
        <v/>
      </c>
      <c r="V155" s="4">
        <f>F155+N155+P155+R155+T155</f>
        <v/>
      </c>
      <c r="W155" s="5">
        <f>M155+O155+Q155+S155+U155</f>
        <v/>
      </c>
    </row>
    <row r="156">
      <c r="A156" t="inlineStr">
        <is>
          <t>MTEN - MCB Kaneohe Bay</t>
        </is>
      </c>
      <c r="B156" t="inlineStr">
        <is>
          <t>Technical Support Specialist</t>
        </is>
      </c>
      <c r="C156" t="inlineStr">
        <is>
          <t>Non-SCA</t>
        </is>
      </c>
      <c r="D156" t="inlineStr">
        <is>
          <t>Exempt</t>
        </is>
      </c>
      <c r="E156" s="5" t="n">
        <v>80</v>
      </c>
      <c r="F156" s="4" t="n">
        <v>22306.66666666666</v>
      </c>
      <c r="G156" s="5">
        <f>E156*F156</f>
        <v/>
      </c>
      <c r="H156" s="5">
        <f>G156*0.35</f>
        <v/>
      </c>
      <c r="I156" s="5">
        <f>(G156+H156)*0.05</f>
        <v/>
      </c>
      <c r="J156" s="5">
        <f>(G156+H156+I156)*0.03</f>
        <v/>
      </c>
      <c r="K156" s="5">
        <f>G156+H156+I156+J156</f>
        <v/>
      </c>
      <c r="L156" s="5">
        <f>K156*0.08</f>
        <v/>
      </c>
      <c r="M156" s="5">
        <f>K156+L156</f>
        <v/>
      </c>
      <c r="N156" s="4" t="n">
        <v>4461.333333333333</v>
      </c>
      <c r="O156" s="5">
        <f>(E156*N156)*1.35*1.05*1.03*1.08</f>
        <v/>
      </c>
      <c r="P156" s="4" t="n">
        <v>4461.333333333333</v>
      </c>
      <c r="Q156" s="5">
        <f>(E156*P156)*1.35*1.05*1.03*1.08</f>
        <v/>
      </c>
      <c r="R156" s="4" t="n">
        <v>4461.333333333333</v>
      </c>
      <c r="S156" s="5">
        <f>(E156*R156)*1.35*1.05*1.03*1.08</f>
        <v/>
      </c>
      <c r="T156" s="4" t="n">
        <v>4461.333333333333</v>
      </c>
      <c r="U156" s="5">
        <f>(E156*T156)*1.35*1.05*1.03*1.08</f>
        <v/>
      </c>
      <c r="V156" s="4">
        <f>F156+N156+P156+R156+T156</f>
        <v/>
      </c>
      <c r="W156" s="5">
        <f>M156+O156+Q156+S156+U156</f>
        <v/>
      </c>
    </row>
    <row r="157">
      <c r="A157" t="inlineStr">
        <is>
          <t>MTEN - MCB Quantico</t>
        </is>
      </c>
      <c r="B157" t="inlineStr">
        <is>
          <t>Cybersecurity Analyst III</t>
        </is>
      </c>
      <c r="C157" t="inlineStr">
        <is>
          <t>Non-SCA</t>
        </is>
      </c>
      <c r="D157" t="inlineStr">
        <is>
          <t>Exempt</t>
        </is>
      </c>
      <c r="E157" s="5" t="n">
        <v>80</v>
      </c>
      <c r="F157" s="4" t="n">
        <v>3186.666666666667</v>
      </c>
      <c r="G157" s="5">
        <f>E157*F157</f>
        <v/>
      </c>
      <c r="H157" s="5">
        <f>G157*0.35</f>
        <v/>
      </c>
      <c r="I157" s="5">
        <f>(G157+H157)*0.05</f>
        <v/>
      </c>
      <c r="J157" s="5">
        <f>(G157+H157+I157)*0.03</f>
        <v/>
      </c>
      <c r="K157" s="5">
        <f>G157+H157+I157+J157</f>
        <v/>
      </c>
      <c r="L157" s="5">
        <f>K157*0.08</f>
        <v/>
      </c>
      <c r="M157" s="5">
        <f>K157+L157</f>
        <v/>
      </c>
      <c r="N157" s="4" t="n">
        <v>637.3333333333334</v>
      </c>
      <c r="O157" s="5">
        <f>(E157*N157)*1.35*1.05*1.03*1.08</f>
        <v/>
      </c>
      <c r="P157" s="4" t="n">
        <v>637.3333333333334</v>
      </c>
      <c r="Q157" s="5">
        <f>(E157*P157)*1.35*1.05*1.03*1.08</f>
        <v/>
      </c>
      <c r="R157" s="4" t="n">
        <v>637.3333333333334</v>
      </c>
      <c r="S157" s="5">
        <f>(E157*R157)*1.35*1.05*1.03*1.08</f>
        <v/>
      </c>
      <c r="T157" s="4" t="n">
        <v>637.3333333333334</v>
      </c>
      <c r="U157" s="5">
        <f>(E157*T157)*1.35*1.05*1.03*1.08</f>
        <v/>
      </c>
      <c r="V157" s="4">
        <f>F157+N157+P157+R157+T157</f>
        <v/>
      </c>
      <c r="W157" s="5">
        <f>M157+O157+Q157+S157+U157</f>
        <v/>
      </c>
    </row>
    <row r="158">
      <c r="A158" t="inlineStr">
        <is>
          <t>MTEN - MCB Quantico</t>
        </is>
      </c>
      <c r="B158" t="inlineStr">
        <is>
          <t>Cybersecurity Analyst IV</t>
        </is>
      </c>
      <c r="C158" t="inlineStr">
        <is>
          <t>Non-SCA</t>
        </is>
      </c>
      <c r="D158" t="inlineStr">
        <is>
          <t>Exempt</t>
        </is>
      </c>
      <c r="E158" s="5" t="n">
        <v>80</v>
      </c>
      <c r="F158" s="4" t="n">
        <v>3186.666666666667</v>
      </c>
      <c r="G158" s="5">
        <f>E158*F158</f>
        <v/>
      </c>
      <c r="H158" s="5">
        <f>G158*0.35</f>
        <v/>
      </c>
      <c r="I158" s="5">
        <f>(G158+H158)*0.05</f>
        <v/>
      </c>
      <c r="J158" s="5">
        <f>(G158+H158+I158)*0.03</f>
        <v/>
      </c>
      <c r="K158" s="5">
        <f>G158+H158+I158+J158</f>
        <v/>
      </c>
      <c r="L158" s="5">
        <f>K158*0.08</f>
        <v/>
      </c>
      <c r="M158" s="5">
        <f>K158+L158</f>
        <v/>
      </c>
      <c r="N158" s="4" t="n">
        <v>637.3333333333334</v>
      </c>
      <c r="O158" s="5">
        <f>(E158*N158)*1.35*1.05*1.03*1.08</f>
        <v/>
      </c>
      <c r="P158" s="4" t="n">
        <v>637.3333333333334</v>
      </c>
      <c r="Q158" s="5">
        <f>(E158*P158)*1.35*1.05*1.03*1.08</f>
        <v/>
      </c>
      <c r="R158" s="4" t="n">
        <v>637.3333333333334</v>
      </c>
      <c r="S158" s="5">
        <f>(E158*R158)*1.35*1.05*1.03*1.08</f>
        <v/>
      </c>
      <c r="T158" s="4" t="n">
        <v>637.3333333333334</v>
      </c>
      <c r="U158" s="5">
        <f>(E158*T158)*1.35*1.05*1.03*1.08</f>
        <v/>
      </c>
      <c r="V158" s="4">
        <f>F158+N158+P158+R158+T158</f>
        <v/>
      </c>
      <c r="W158" s="5">
        <f>M158+O158+Q158+S158+U158</f>
        <v/>
      </c>
    </row>
    <row r="159">
      <c r="A159" t="inlineStr">
        <is>
          <t>MTEN - MCB Quantico</t>
        </is>
      </c>
      <c r="B159" t="inlineStr">
        <is>
          <t>Mission Coordinator</t>
        </is>
      </c>
      <c r="C159" t="inlineStr">
        <is>
          <t>Non-SCA</t>
        </is>
      </c>
      <c r="D159" t="inlineStr">
        <is>
          <t>Exempt</t>
        </is>
      </c>
      <c r="E159" s="5" t="n">
        <v>85</v>
      </c>
      <c r="F159" s="4" t="n">
        <v>11153.33333333333</v>
      </c>
      <c r="G159" s="5">
        <f>E159*F159</f>
        <v/>
      </c>
      <c r="H159" s="5">
        <f>G159*0.35</f>
        <v/>
      </c>
      <c r="I159" s="5">
        <f>(G159+H159)*0.05</f>
        <v/>
      </c>
      <c r="J159" s="5">
        <f>(G159+H159+I159)*0.03</f>
        <v/>
      </c>
      <c r="K159" s="5">
        <f>G159+H159+I159+J159</f>
        <v/>
      </c>
      <c r="L159" s="5">
        <f>K159*0.08</f>
        <v/>
      </c>
      <c r="M159" s="5">
        <f>K159+L159</f>
        <v/>
      </c>
      <c r="N159" s="4" t="n">
        <v>2230.666666666667</v>
      </c>
      <c r="O159" s="5">
        <f>(E159*N159)*1.35*1.05*1.03*1.08</f>
        <v/>
      </c>
      <c r="P159" s="4" t="n">
        <v>2230.666666666667</v>
      </c>
      <c r="Q159" s="5">
        <f>(E159*P159)*1.35*1.05*1.03*1.08</f>
        <v/>
      </c>
      <c r="R159" s="4" t="n">
        <v>2230.666666666667</v>
      </c>
      <c r="S159" s="5">
        <f>(E159*R159)*1.35*1.05*1.03*1.08</f>
        <v/>
      </c>
      <c r="T159" s="4" t="n">
        <v>2230.666666666667</v>
      </c>
      <c r="U159" s="5">
        <f>(E159*T159)*1.35*1.05*1.03*1.08</f>
        <v/>
      </c>
      <c r="V159" s="4">
        <f>F159+N159+P159+R159+T159</f>
        <v/>
      </c>
      <c r="W159" s="5">
        <f>M159+O159+Q159+S159+U159</f>
        <v/>
      </c>
    </row>
    <row r="160">
      <c r="A160" t="inlineStr">
        <is>
          <t>MTEN - MCB Quantico</t>
        </is>
      </c>
      <c r="B160" t="inlineStr">
        <is>
          <t>Network Administrator III</t>
        </is>
      </c>
      <c r="C160" t="inlineStr">
        <is>
          <t>Non-SCA</t>
        </is>
      </c>
      <c r="D160" t="inlineStr">
        <is>
          <t>Exempt</t>
        </is>
      </c>
      <c r="E160" s="5" t="n">
        <v>80</v>
      </c>
      <c r="F160" s="4" t="n">
        <v>6373.333333333334</v>
      </c>
      <c r="G160" s="5">
        <f>E160*F160</f>
        <v/>
      </c>
      <c r="H160" s="5">
        <f>G160*0.35</f>
        <v/>
      </c>
      <c r="I160" s="5">
        <f>(G160+H160)*0.05</f>
        <v/>
      </c>
      <c r="J160" s="5">
        <f>(G160+H160+I160)*0.03</f>
        <v/>
      </c>
      <c r="K160" s="5">
        <f>G160+H160+I160+J160</f>
        <v/>
      </c>
      <c r="L160" s="5">
        <f>K160*0.08</f>
        <v/>
      </c>
      <c r="M160" s="5">
        <f>K160+L160</f>
        <v/>
      </c>
      <c r="N160" s="4" t="n">
        <v>1274.666666666667</v>
      </c>
      <c r="O160" s="5">
        <f>(E160*N160)*1.35*1.05*1.03*1.08</f>
        <v/>
      </c>
      <c r="P160" s="4" t="n">
        <v>1274.666666666667</v>
      </c>
      <c r="Q160" s="5">
        <f>(E160*P160)*1.35*1.05*1.03*1.08</f>
        <v/>
      </c>
      <c r="R160" s="4" t="n">
        <v>1274.666666666667</v>
      </c>
      <c r="S160" s="5">
        <f>(E160*R160)*1.35*1.05*1.03*1.08</f>
        <v/>
      </c>
      <c r="T160" s="4" t="n">
        <v>1274.666666666667</v>
      </c>
      <c r="U160" s="5">
        <f>(E160*T160)*1.35*1.05*1.03*1.08</f>
        <v/>
      </c>
      <c r="V160" s="4">
        <f>F160+N160+P160+R160+T160</f>
        <v/>
      </c>
      <c r="W160" s="5">
        <f>M160+O160+Q160+S160+U160</f>
        <v/>
      </c>
    </row>
    <row r="161">
      <c r="A161" t="inlineStr">
        <is>
          <t>MTEN - MCB Quantico</t>
        </is>
      </c>
      <c r="B161" t="inlineStr">
        <is>
          <t>Network Administrator IV</t>
        </is>
      </c>
      <c r="C161" t="inlineStr">
        <is>
          <t>Non-SCA</t>
        </is>
      </c>
      <c r="D161" t="inlineStr">
        <is>
          <t>Exempt</t>
        </is>
      </c>
      <c r="E161" s="5" t="n">
        <v>80</v>
      </c>
      <c r="F161" s="4" t="n">
        <v>28680</v>
      </c>
      <c r="G161" s="5">
        <f>E161*F161</f>
        <v/>
      </c>
      <c r="H161" s="5">
        <f>G161*0.35</f>
        <v/>
      </c>
      <c r="I161" s="5">
        <f>(G161+H161)*0.05</f>
        <v/>
      </c>
      <c r="J161" s="5">
        <f>(G161+H161+I161)*0.03</f>
        <v/>
      </c>
      <c r="K161" s="5">
        <f>G161+H161+I161+J161</f>
        <v/>
      </c>
      <c r="L161" s="5">
        <f>K161*0.08</f>
        <v/>
      </c>
      <c r="M161" s="5">
        <f>K161+L161</f>
        <v/>
      </c>
      <c r="N161" s="4" t="n">
        <v>5736</v>
      </c>
      <c r="O161" s="5">
        <f>(E161*N161)*1.35*1.05*1.03*1.08</f>
        <v/>
      </c>
      <c r="P161" s="4" t="n">
        <v>5736</v>
      </c>
      <c r="Q161" s="5">
        <f>(E161*P161)*1.35*1.05*1.03*1.08</f>
        <v/>
      </c>
      <c r="R161" s="4" t="n">
        <v>5736</v>
      </c>
      <c r="S161" s="5">
        <f>(E161*R161)*1.35*1.05*1.03*1.08</f>
        <v/>
      </c>
      <c r="T161" s="4" t="n">
        <v>5736</v>
      </c>
      <c r="U161" s="5">
        <f>(E161*T161)*1.35*1.05*1.03*1.08</f>
        <v/>
      </c>
      <c r="V161" s="4">
        <f>F161+N161+P161+R161+T161</f>
        <v/>
      </c>
      <c r="W161" s="5">
        <f>M161+O161+Q161+S161+U161</f>
        <v/>
      </c>
    </row>
    <row r="162">
      <c r="A162" t="inlineStr">
        <is>
          <t>MTEN - MCB Quantico</t>
        </is>
      </c>
      <c r="B162" t="inlineStr">
        <is>
          <t>Network Engineer IV</t>
        </is>
      </c>
      <c r="C162" t="inlineStr">
        <is>
          <t>Non-SCA</t>
        </is>
      </c>
      <c r="D162" t="inlineStr">
        <is>
          <t>Exempt</t>
        </is>
      </c>
      <c r="E162" s="5" t="n">
        <v>95</v>
      </c>
      <c r="F162" s="4" t="n">
        <v>11153.33333333333</v>
      </c>
      <c r="G162" s="5">
        <f>E162*F162</f>
        <v/>
      </c>
      <c r="H162" s="5">
        <f>G162*0.35</f>
        <v/>
      </c>
      <c r="I162" s="5">
        <f>(G162+H162)*0.05</f>
        <v/>
      </c>
      <c r="J162" s="5">
        <f>(G162+H162+I162)*0.03</f>
        <v/>
      </c>
      <c r="K162" s="5">
        <f>G162+H162+I162+J162</f>
        <v/>
      </c>
      <c r="L162" s="5">
        <f>K162*0.08</f>
        <v/>
      </c>
      <c r="M162" s="5">
        <f>K162+L162</f>
        <v/>
      </c>
      <c r="N162" s="4" t="n">
        <v>2230.666666666667</v>
      </c>
      <c r="O162" s="5">
        <f>(E162*N162)*1.35*1.05*1.03*1.08</f>
        <v/>
      </c>
      <c r="P162" s="4" t="n">
        <v>2230.666666666667</v>
      </c>
      <c r="Q162" s="5">
        <f>(E162*P162)*1.35*1.05*1.03*1.08</f>
        <v/>
      </c>
      <c r="R162" s="4" t="n">
        <v>2230.666666666667</v>
      </c>
      <c r="S162" s="5">
        <f>(E162*R162)*1.35*1.05*1.03*1.08</f>
        <v/>
      </c>
      <c r="T162" s="4" t="n">
        <v>2230.666666666667</v>
      </c>
      <c r="U162" s="5">
        <f>(E162*T162)*1.35*1.05*1.03*1.08</f>
        <v/>
      </c>
      <c r="V162" s="4">
        <f>F162+N162+P162+R162+T162</f>
        <v/>
      </c>
      <c r="W162" s="5">
        <f>M162+O162+Q162+S162+U162</f>
        <v/>
      </c>
    </row>
    <row r="163">
      <c r="A163" t="inlineStr">
        <is>
          <t>MTEN - MCB Quantico</t>
        </is>
      </c>
      <c r="B163" t="inlineStr">
        <is>
          <t>Tactical Data Link Analyst</t>
        </is>
      </c>
      <c r="C163" t="inlineStr">
        <is>
          <t>Non-SCA</t>
        </is>
      </c>
      <c r="D163" t="inlineStr">
        <is>
          <t>Exempt</t>
        </is>
      </c>
      <c r="E163" s="5" t="n">
        <v>75</v>
      </c>
      <c r="F163" s="4" t="n">
        <v>11153.33333333333</v>
      </c>
      <c r="G163" s="5">
        <f>E163*F163</f>
        <v/>
      </c>
      <c r="H163" s="5">
        <f>G163*0.35</f>
        <v/>
      </c>
      <c r="I163" s="5">
        <f>(G163+H163)*0.05</f>
        <v/>
      </c>
      <c r="J163" s="5">
        <f>(G163+H163+I163)*0.03</f>
        <v/>
      </c>
      <c r="K163" s="5">
        <f>G163+H163+I163+J163</f>
        <v/>
      </c>
      <c r="L163" s="5">
        <f>K163*0.08</f>
        <v/>
      </c>
      <c r="M163" s="5">
        <f>K163+L163</f>
        <v/>
      </c>
      <c r="N163" s="4" t="n">
        <v>2230.666666666667</v>
      </c>
      <c r="O163" s="5">
        <f>(E163*N163)*1.35*1.05*1.03*1.08</f>
        <v/>
      </c>
      <c r="P163" s="4" t="n">
        <v>2230.666666666667</v>
      </c>
      <c r="Q163" s="5">
        <f>(E163*P163)*1.35*1.05*1.03*1.08</f>
        <v/>
      </c>
      <c r="R163" s="4" t="n">
        <v>2230.666666666667</v>
      </c>
      <c r="S163" s="5">
        <f>(E163*R163)*1.35*1.05*1.03*1.08</f>
        <v/>
      </c>
      <c r="T163" s="4" t="n">
        <v>2230.666666666667</v>
      </c>
      <c r="U163" s="5">
        <f>(E163*T163)*1.35*1.05*1.03*1.08</f>
        <v/>
      </c>
      <c r="V163" s="4">
        <f>F163+N163+P163+R163+T163</f>
        <v/>
      </c>
      <c r="W163" s="5">
        <f>M163+O163+Q163+S163+U163</f>
        <v/>
      </c>
    </row>
    <row r="164">
      <c r="A164" t="inlineStr">
        <is>
          <t>MTEN - MCB Quantico</t>
        </is>
      </c>
      <c r="B164" t="inlineStr">
        <is>
          <t>Technical Support Specialist</t>
        </is>
      </c>
      <c r="C164" t="inlineStr">
        <is>
          <t>Non-SCA</t>
        </is>
      </c>
      <c r="D164" t="inlineStr">
        <is>
          <t>Exempt</t>
        </is>
      </c>
      <c r="E164" s="5" t="n">
        <v>80</v>
      </c>
      <c r="F164" s="4" t="n">
        <v>22306.66666666666</v>
      </c>
      <c r="G164" s="5">
        <f>E164*F164</f>
        <v/>
      </c>
      <c r="H164" s="5">
        <f>G164*0.35</f>
        <v/>
      </c>
      <c r="I164" s="5">
        <f>(G164+H164)*0.05</f>
        <v/>
      </c>
      <c r="J164" s="5">
        <f>(G164+H164+I164)*0.03</f>
        <v/>
      </c>
      <c r="K164" s="5">
        <f>G164+H164+I164+J164</f>
        <v/>
      </c>
      <c r="L164" s="5">
        <f>K164*0.08</f>
        <v/>
      </c>
      <c r="M164" s="5">
        <f>K164+L164</f>
        <v/>
      </c>
      <c r="N164" s="4" t="n">
        <v>4461.333333333333</v>
      </c>
      <c r="O164" s="5">
        <f>(E164*N164)*1.35*1.05*1.03*1.08</f>
        <v/>
      </c>
      <c r="P164" s="4" t="n">
        <v>4461.333333333333</v>
      </c>
      <c r="Q164" s="5">
        <f>(E164*P164)*1.35*1.05*1.03*1.08</f>
        <v/>
      </c>
      <c r="R164" s="4" t="n">
        <v>4461.333333333333</v>
      </c>
      <c r="S164" s="5">
        <f>(E164*R164)*1.35*1.05*1.03*1.08</f>
        <v/>
      </c>
      <c r="T164" s="4" t="n">
        <v>4461.333333333333</v>
      </c>
      <c r="U164" s="5">
        <f>(E164*T164)*1.35*1.05*1.03*1.08</f>
        <v/>
      </c>
      <c r="V164" s="4">
        <f>F164+N164+P164+R164+T164</f>
        <v/>
      </c>
      <c r="W164" s="5">
        <f>M164+O164+Q164+S164+U164</f>
        <v/>
      </c>
    </row>
    <row r="165">
      <c r="A165" t="inlineStr">
        <is>
          <t>MTEN - Okinawa</t>
        </is>
      </c>
      <c r="B165" t="inlineStr">
        <is>
          <t>Cybersecurity Analyst III</t>
        </is>
      </c>
      <c r="C165" t="inlineStr">
        <is>
          <t>Non-SCA</t>
        </is>
      </c>
      <c r="D165" t="inlineStr">
        <is>
          <t>Exempt</t>
        </is>
      </c>
      <c r="E165" s="5" t="n">
        <v>80</v>
      </c>
      <c r="F165" s="4" t="n">
        <v>3186.666666666667</v>
      </c>
      <c r="G165" s="5">
        <f>E165*F165</f>
        <v/>
      </c>
      <c r="H165" s="5">
        <f>G165*0.35</f>
        <v/>
      </c>
      <c r="I165" s="5">
        <f>(G165+H165)*0.05</f>
        <v/>
      </c>
      <c r="J165" s="5">
        <f>(G165+H165+I165)*0.03</f>
        <v/>
      </c>
      <c r="K165" s="5">
        <f>G165+H165+I165+J165</f>
        <v/>
      </c>
      <c r="L165" s="5">
        <f>K165*0.08</f>
        <v/>
      </c>
      <c r="M165" s="5">
        <f>K165+L165</f>
        <v/>
      </c>
      <c r="N165" s="4" t="n">
        <v>637.3333333333334</v>
      </c>
      <c r="O165" s="5">
        <f>(E165*N165)*1.35*1.05*1.03*1.08</f>
        <v/>
      </c>
      <c r="P165" s="4" t="n">
        <v>637.3333333333334</v>
      </c>
      <c r="Q165" s="5">
        <f>(E165*P165)*1.35*1.05*1.03*1.08</f>
        <v/>
      </c>
      <c r="R165" s="4" t="n">
        <v>637.3333333333334</v>
      </c>
      <c r="S165" s="5">
        <f>(E165*R165)*1.35*1.05*1.03*1.08</f>
        <v/>
      </c>
      <c r="T165" s="4" t="n">
        <v>637.3333333333334</v>
      </c>
      <c r="U165" s="5">
        <f>(E165*T165)*1.35*1.05*1.03*1.08</f>
        <v/>
      </c>
      <c r="V165" s="4">
        <f>F165+N165+P165+R165+T165</f>
        <v/>
      </c>
      <c r="W165" s="5">
        <f>M165+O165+Q165+S165+U165</f>
        <v/>
      </c>
    </row>
    <row r="166">
      <c r="A166" t="inlineStr">
        <is>
          <t>MTEN - Okinawa</t>
        </is>
      </c>
      <c r="B166" t="inlineStr">
        <is>
          <t>Cybersecurity Analyst IV</t>
        </is>
      </c>
      <c r="C166" t="inlineStr">
        <is>
          <t>Non-SCA</t>
        </is>
      </c>
      <c r="D166" t="inlineStr">
        <is>
          <t>Exempt</t>
        </is>
      </c>
      <c r="E166" s="5" t="n">
        <v>80</v>
      </c>
      <c r="F166" s="4" t="n">
        <v>3186.666666666667</v>
      </c>
      <c r="G166" s="5">
        <f>E166*F166</f>
        <v/>
      </c>
      <c r="H166" s="5">
        <f>G166*0.35</f>
        <v/>
      </c>
      <c r="I166" s="5">
        <f>(G166+H166)*0.05</f>
        <v/>
      </c>
      <c r="J166" s="5">
        <f>(G166+H166+I166)*0.03</f>
        <v/>
      </c>
      <c r="K166" s="5">
        <f>G166+H166+I166+J166</f>
        <v/>
      </c>
      <c r="L166" s="5">
        <f>K166*0.08</f>
        <v/>
      </c>
      <c r="M166" s="5">
        <f>K166+L166</f>
        <v/>
      </c>
      <c r="N166" s="4" t="n">
        <v>637.3333333333334</v>
      </c>
      <c r="O166" s="5">
        <f>(E166*N166)*1.35*1.05*1.03*1.08</f>
        <v/>
      </c>
      <c r="P166" s="4" t="n">
        <v>637.3333333333334</v>
      </c>
      <c r="Q166" s="5">
        <f>(E166*P166)*1.35*1.05*1.03*1.08</f>
        <v/>
      </c>
      <c r="R166" s="4" t="n">
        <v>637.3333333333334</v>
      </c>
      <c r="S166" s="5">
        <f>(E166*R166)*1.35*1.05*1.03*1.08</f>
        <v/>
      </c>
      <c r="T166" s="4" t="n">
        <v>637.3333333333334</v>
      </c>
      <c r="U166" s="5">
        <f>(E166*T166)*1.35*1.05*1.03*1.08</f>
        <v/>
      </c>
      <c r="V166" s="4">
        <f>F166+N166+P166+R166+T166</f>
        <v/>
      </c>
      <c r="W166" s="5">
        <f>M166+O166+Q166+S166+U166</f>
        <v/>
      </c>
    </row>
    <row r="167">
      <c r="A167" t="inlineStr">
        <is>
          <t>MTEN - Okinawa</t>
        </is>
      </c>
      <c r="B167" t="inlineStr">
        <is>
          <t>Mission Coordinator</t>
        </is>
      </c>
      <c r="C167" t="inlineStr">
        <is>
          <t>Non-SCA</t>
        </is>
      </c>
      <c r="D167" t="inlineStr">
        <is>
          <t>Exempt</t>
        </is>
      </c>
      <c r="E167" s="5" t="n">
        <v>85</v>
      </c>
      <c r="F167" s="4" t="n">
        <v>11153.33333333333</v>
      </c>
      <c r="G167" s="5">
        <f>E167*F167</f>
        <v/>
      </c>
      <c r="H167" s="5">
        <f>G167*0.35</f>
        <v/>
      </c>
      <c r="I167" s="5">
        <f>(G167+H167)*0.05</f>
        <v/>
      </c>
      <c r="J167" s="5">
        <f>(G167+H167+I167)*0.03</f>
        <v/>
      </c>
      <c r="K167" s="5">
        <f>G167+H167+I167+J167</f>
        <v/>
      </c>
      <c r="L167" s="5">
        <f>K167*0.08</f>
        <v/>
      </c>
      <c r="M167" s="5">
        <f>K167+L167</f>
        <v/>
      </c>
      <c r="N167" s="4" t="n">
        <v>2230.666666666667</v>
      </c>
      <c r="O167" s="5">
        <f>(E167*N167)*1.35*1.05*1.03*1.08</f>
        <v/>
      </c>
      <c r="P167" s="4" t="n">
        <v>2230.666666666667</v>
      </c>
      <c r="Q167" s="5">
        <f>(E167*P167)*1.35*1.05*1.03*1.08</f>
        <v/>
      </c>
      <c r="R167" s="4" t="n">
        <v>2230.666666666667</v>
      </c>
      <c r="S167" s="5">
        <f>(E167*R167)*1.35*1.05*1.03*1.08</f>
        <v/>
      </c>
      <c r="T167" s="4" t="n">
        <v>2230.666666666667</v>
      </c>
      <c r="U167" s="5">
        <f>(E167*T167)*1.35*1.05*1.03*1.08</f>
        <v/>
      </c>
      <c r="V167" s="4">
        <f>F167+N167+P167+R167+T167</f>
        <v/>
      </c>
      <c r="W167" s="5">
        <f>M167+O167+Q167+S167+U167</f>
        <v/>
      </c>
    </row>
    <row r="168">
      <c r="A168" t="inlineStr">
        <is>
          <t>MTEN - Okinawa</t>
        </is>
      </c>
      <c r="B168" t="inlineStr">
        <is>
          <t>Network Administrator III</t>
        </is>
      </c>
      <c r="C168" t="inlineStr">
        <is>
          <t>Non-SCA</t>
        </is>
      </c>
      <c r="D168" t="inlineStr">
        <is>
          <t>Exempt</t>
        </is>
      </c>
      <c r="E168" s="5" t="n">
        <v>80</v>
      </c>
      <c r="F168" s="4" t="n">
        <v>6373.333333333334</v>
      </c>
      <c r="G168" s="5">
        <f>E168*F168</f>
        <v/>
      </c>
      <c r="H168" s="5">
        <f>G168*0.35</f>
        <v/>
      </c>
      <c r="I168" s="5">
        <f>(G168+H168)*0.05</f>
        <v/>
      </c>
      <c r="J168" s="5">
        <f>(G168+H168+I168)*0.03</f>
        <v/>
      </c>
      <c r="K168" s="5">
        <f>G168+H168+I168+J168</f>
        <v/>
      </c>
      <c r="L168" s="5">
        <f>K168*0.08</f>
        <v/>
      </c>
      <c r="M168" s="5">
        <f>K168+L168</f>
        <v/>
      </c>
      <c r="N168" s="4" t="n">
        <v>1274.666666666667</v>
      </c>
      <c r="O168" s="5">
        <f>(E168*N168)*1.35*1.05*1.03*1.08</f>
        <v/>
      </c>
      <c r="P168" s="4" t="n">
        <v>1274.666666666667</v>
      </c>
      <c r="Q168" s="5">
        <f>(E168*P168)*1.35*1.05*1.03*1.08</f>
        <v/>
      </c>
      <c r="R168" s="4" t="n">
        <v>1274.666666666667</v>
      </c>
      <c r="S168" s="5">
        <f>(E168*R168)*1.35*1.05*1.03*1.08</f>
        <v/>
      </c>
      <c r="T168" s="4" t="n">
        <v>1274.666666666667</v>
      </c>
      <c r="U168" s="5">
        <f>(E168*T168)*1.35*1.05*1.03*1.08</f>
        <v/>
      </c>
      <c r="V168" s="4">
        <f>F168+N168+P168+R168+T168</f>
        <v/>
      </c>
      <c r="W168" s="5">
        <f>M168+O168+Q168+S168+U168</f>
        <v/>
      </c>
    </row>
    <row r="169">
      <c r="A169" t="inlineStr">
        <is>
          <t>MTEN - Okinawa</t>
        </is>
      </c>
      <c r="B169" t="inlineStr">
        <is>
          <t>Network Administrator IV</t>
        </is>
      </c>
      <c r="C169" t="inlineStr">
        <is>
          <t>Non-SCA</t>
        </is>
      </c>
      <c r="D169" t="inlineStr">
        <is>
          <t>Exempt</t>
        </is>
      </c>
      <c r="E169" s="5" t="n">
        <v>80</v>
      </c>
      <c r="F169" s="4" t="n">
        <v>28680</v>
      </c>
      <c r="G169" s="5">
        <f>E169*F169</f>
        <v/>
      </c>
      <c r="H169" s="5">
        <f>G169*0.35</f>
        <v/>
      </c>
      <c r="I169" s="5">
        <f>(G169+H169)*0.05</f>
        <v/>
      </c>
      <c r="J169" s="5">
        <f>(G169+H169+I169)*0.03</f>
        <v/>
      </c>
      <c r="K169" s="5">
        <f>G169+H169+I169+J169</f>
        <v/>
      </c>
      <c r="L169" s="5">
        <f>K169*0.08</f>
        <v/>
      </c>
      <c r="M169" s="5">
        <f>K169+L169</f>
        <v/>
      </c>
      <c r="N169" s="4" t="n">
        <v>5736</v>
      </c>
      <c r="O169" s="5">
        <f>(E169*N169)*1.35*1.05*1.03*1.08</f>
        <v/>
      </c>
      <c r="P169" s="4" t="n">
        <v>5736</v>
      </c>
      <c r="Q169" s="5">
        <f>(E169*P169)*1.35*1.05*1.03*1.08</f>
        <v/>
      </c>
      <c r="R169" s="4" t="n">
        <v>5736</v>
      </c>
      <c r="S169" s="5">
        <f>(E169*R169)*1.35*1.05*1.03*1.08</f>
        <v/>
      </c>
      <c r="T169" s="4" t="n">
        <v>5736</v>
      </c>
      <c r="U169" s="5">
        <f>(E169*T169)*1.35*1.05*1.03*1.08</f>
        <v/>
      </c>
      <c r="V169" s="4">
        <f>F169+N169+P169+R169+T169</f>
        <v/>
      </c>
      <c r="W169" s="5">
        <f>M169+O169+Q169+S169+U169</f>
        <v/>
      </c>
    </row>
    <row r="170">
      <c r="A170" t="inlineStr">
        <is>
          <t>MTEN - Okinawa</t>
        </is>
      </c>
      <c r="B170" t="inlineStr">
        <is>
          <t>Network Engineer IV</t>
        </is>
      </c>
      <c r="C170" t="inlineStr">
        <is>
          <t>Non-SCA</t>
        </is>
      </c>
      <c r="D170" t="inlineStr">
        <is>
          <t>Exempt</t>
        </is>
      </c>
      <c r="E170" s="5" t="n">
        <v>95</v>
      </c>
      <c r="F170" s="4" t="n">
        <v>11153.33333333333</v>
      </c>
      <c r="G170" s="5">
        <f>E170*F170</f>
        <v/>
      </c>
      <c r="H170" s="5">
        <f>G170*0.35</f>
        <v/>
      </c>
      <c r="I170" s="5">
        <f>(G170+H170)*0.05</f>
        <v/>
      </c>
      <c r="J170" s="5">
        <f>(G170+H170+I170)*0.03</f>
        <v/>
      </c>
      <c r="K170" s="5">
        <f>G170+H170+I170+J170</f>
        <v/>
      </c>
      <c r="L170" s="5">
        <f>K170*0.08</f>
        <v/>
      </c>
      <c r="M170" s="5">
        <f>K170+L170</f>
        <v/>
      </c>
      <c r="N170" s="4" t="n">
        <v>2230.666666666667</v>
      </c>
      <c r="O170" s="5">
        <f>(E170*N170)*1.35*1.05*1.03*1.08</f>
        <v/>
      </c>
      <c r="P170" s="4" t="n">
        <v>2230.666666666667</v>
      </c>
      <c r="Q170" s="5">
        <f>(E170*P170)*1.35*1.05*1.03*1.08</f>
        <v/>
      </c>
      <c r="R170" s="4" t="n">
        <v>2230.666666666667</v>
      </c>
      <c r="S170" s="5">
        <f>(E170*R170)*1.35*1.05*1.03*1.08</f>
        <v/>
      </c>
      <c r="T170" s="4" t="n">
        <v>2230.666666666667</v>
      </c>
      <c r="U170" s="5">
        <f>(E170*T170)*1.35*1.05*1.03*1.08</f>
        <v/>
      </c>
      <c r="V170" s="4">
        <f>F170+N170+P170+R170+T170</f>
        <v/>
      </c>
      <c r="W170" s="5">
        <f>M170+O170+Q170+S170+U170</f>
        <v/>
      </c>
    </row>
    <row r="171">
      <c r="A171" t="inlineStr">
        <is>
          <t>MTEN - Okinawa</t>
        </is>
      </c>
      <c r="B171" t="inlineStr">
        <is>
          <t>Tactical Data Link Analyst</t>
        </is>
      </c>
      <c r="C171" t="inlineStr">
        <is>
          <t>Non-SCA</t>
        </is>
      </c>
      <c r="D171" t="inlineStr">
        <is>
          <t>Exempt</t>
        </is>
      </c>
      <c r="E171" s="5" t="n">
        <v>75</v>
      </c>
      <c r="F171" s="4" t="n">
        <v>11153.33333333333</v>
      </c>
      <c r="G171" s="5">
        <f>E171*F171</f>
        <v/>
      </c>
      <c r="H171" s="5">
        <f>G171*0.35</f>
        <v/>
      </c>
      <c r="I171" s="5">
        <f>(G171+H171)*0.05</f>
        <v/>
      </c>
      <c r="J171" s="5">
        <f>(G171+H171+I171)*0.03</f>
        <v/>
      </c>
      <c r="K171" s="5">
        <f>G171+H171+I171+J171</f>
        <v/>
      </c>
      <c r="L171" s="5">
        <f>K171*0.08</f>
        <v/>
      </c>
      <c r="M171" s="5">
        <f>K171+L171</f>
        <v/>
      </c>
      <c r="N171" s="4" t="n">
        <v>2230.666666666667</v>
      </c>
      <c r="O171" s="5">
        <f>(E171*N171)*1.35*1.05*1.03*1.08</f>
        <v/>
      </c>
      <c r="P171" s="4" t="n">
        <v>2230.666666666667</v>
      </c>
      <c r="Q171" s="5">
        <f>(E171*P171)*1.35*1.05*1.03*1.08</f>
        <v/>
      </c>
      <c r="R171" s="4" t="n">
        <v>2230.666666666667</v>
      </c>
      <c r="S171" s="5">
        <f>(E171*R171)*1.35*1.05*1.03*1.08</f>
        <v/>
      </c>
      <c r="T171" s="4" t="n">
        <v>2230.666666666667</v>
      </c>
      <c r="U171" s="5">
        <f>(E171*T171)*1.35*1.05*1.03*1.08</f>
        <v/>
      </c>
      <c r="V171" s="4">
        <f>F171+N171+P171+R171+T171</f>
        <v/>
      </c>
      <c r="W171" s="5">
        <f>M171+O171+Q171+S171+U171</f>
        <v/>
      </c>
    </row>
    <row r="172">
      <c r="A172" t="inlineStr">
        <is>
          <t>MTEN - Okinawa</t>
        </is>
      </c>
      <c r="B172" t="inlineStr">
        <is>
          <t>Technical Support Specialist</t>
        </is>
      </c>
      <c r="C172" t="inlineStr">
        <is>
          <t>Non-SCA</t>
        </is>
      </c>
      <c r="D172" t="inlineStr">
        <is>
          <t>Exempt</t>
        </is>
      </c>
      <c r="E172" s="5" t="n">
        <v>80</v>
      </c>
      <c r="F172" s="4" t="n">
        <v>22306.66666666666</v>
      </c>
      <c r="G172" s="5">
        <f>E172*F172</f>
        <v/>
      </c>
      <c r="H172" s="5">
        <f>G172*0.35</f>
        <v/>
      </c>
      <c r="I172" s="5">
        <f>(G172+H172)*0.05</f>
        <v/>
      </c>
      <c r="J172" s="5">
        <f>(G172+H172+I172)*0.03</f>
        <v/>
      </c>
      <c r="K172" s="5">
        <f>G172+H172+I172+J172</f>
        <v/>
      </c>
      <c r="L172" s="5">
        <f>K172*0.08</f>
        <v/>
      </c>
      <c r="M172" s="5">
        <f>K172+L172</f>
        <v/>
      </c>
      <c r="N172" s="4" t="n">
        <v>4461.333333333333</v>
      </c>
      <c r="O172" s="5">
        <f>(E172*N172)*1.35*1.05*1.03*1.08</f>
        <v/>
      </c>
      <c r="P172" s="4" t="n">
        <v>4461.333333333333</v>
      </c>
      <c r="Q172" s="5">
        <f>(E172*P172)*1.35*1.05*1.03*1.08</f>
        <v/>
      </c>
      <c r="R172" s="4" t="n">
        <v>4461.333333333333</v>
      </c>
      <c r="S172" s="5">
        <f>(E172*R172)*1.35*1.05*1.03*1.08</f>
        <v/>
      </c>
      <c r="T172" s="4" t="n">
        <v>4461.333333333333</v>
      </c>
      <c r="U172" s="5">
        <f>(E172*T172)*1.35*1.05*1.03*1.08</f>
        <v/>
      </c>
      <c r="V172" s="4">
        <f>F172+N172+P172+R172+T172</f>
        <v/>
      </c>
      <c r="W172" s="5">
        <f>M172+O172+Q172+S172+U172</f>
        <v/>
      </c>
    </row>
    <row r="173">
      <c r="A173" t="inlineStr">
        <is>
          <t>Navy Dare</t>
        </is>
      </c>
      <c r="B173" t="inlineStr">
        <is>
          <t>Site Manager</t>
        </is>
      </c>
      <c r="C173" t="inlineStr">
        <is>
          <t>Non-SCA</t>
        </is>
      </c>
      <c r="D173" t="inlineStr">
        <is>
          <t>Exempt</t>
        </is>
      </c>
      <c r="E173" s="5" t="n">
        <v>95</v>
      </c>
      <c r="F173" s="4" t="n">
        <v>9560</v>
      </c>
      <c r="G173" s="5">
        <f>E173*F173</f>
        <v/>
      </c>
      <c r="H173" s="5">
        <f>G173*0.35</f>
        <v/>
      </c>
      <c r="I173" s="5">
        <f>(G173+H173)*0.05</f>
        <v/>
      </c>
      <c r="J173" s="5">
        <f>(G173+H173+I173)*0.03</f>
        <v/>
      </c>
      <c r="K173" s="5">
        <f>G173+H173+I173+J173</f>
        <v/>
      </c>
      <c r="L173" s="5">
        <f>K173*0.08</f>
        <v/>
      </c>
      <c r="M173" s="5">
        <f>K173+L173</f>
        <v/>
      </c>
      <c r="N173" s="4" t="n">
        <v>1912</v>
      </c>
      <c r="O173" s="5">
        <f>(E173*N173)*1.35*1.05*1.03*1.08</f>
        <v/>
      </c>
      <c r="P173" s="4" t="n">
        <v>1912</v>
      </c>
      <c r="Q173" s="5">
        <f>(E173*P173)*1.35*1.05*1.03*1.08</f>
        <v/>
      </c>
      <c r="R173" s="4" t="n">
        <v>1912</v>
      </c>
      <c r="S173" s="5">
        <f>(E173*R173)*1.35*1.05*1.03*1.08</f>
        <v/>
      </c>
      <c r="T173" s="4" t="n">
        <v>1912</v>
      </c>
      <c r="U173" s="5">
        <f>(E173*T173)*1.35*1.05*1.03*1.08</f>
        <v/>
      </c>
      <c r="V173" s="4">
        <f>F173+N173+P173+R173+T173</f>
        <v/>
      </c>
      <c r="W173" s="5">
        <f>M173+O173+Q173+S173+U173</f>
        <v/>
      </c>
    </row>
    <row r="174">
      <c r="A174" t="inlineStr">
        <is>
          <t>Navy Dare</t>
        </is>
      </c>
      <c r="B174" t="inlineStr">
        <is>
          <t>Mission Coordinator, Senior</t>
        </is>
      </c>
      <c r="C174" t="inlineStr">
        <is>
          <t>Non-SCA</t>
        </is>
      </c>
      <c r="D174" t="inlineStr">
        <is>
          <t>Exempt</t>
        </is>
      </c>
      <c r="E174" s="5" t="n">
        <v>95</v>
      </c>
      <c r="F174" s="4" t="n">
        <v>9560</v>
      </c>
      <c r="G174" s="5">
        <f>E174*F174</f>
        <v/>
      </c>
      <c r="H174" s="5">
        <f>G174*0.35</f>
        <v/>
      </c>
      <c r="I174" s="5">
        <f>(G174+H174)*0.05</f>
        <v/>
      </c>
      <c r="J174" s="5">
        <f>(G174+H174+I174)*0.03</f>
        <v/>
      </c>
      <c r="K174" s="5">
        <f>G174+H174+I174+J174</f>
        <v/>
      </c>
      <c r="L174" s="5">
        <f>K174*0.08</f>
        <v/>
      </c>
      <c r="M174" s="5">
        <f>K174+L174</f>
        <v/>
      </c>
      <c r="N174" s="4" t="n">
        <v>1912</v>
      </c>
      <c r="O174" s="5">
        <f>(E174*N174)*1.35*1.05*1.03*1.08</f>
        <v/>
      </c>
      <c r="P174" s="4" t="n">
        <v>1912</v>
      </c>
      <c r="Q174" s="5">
        <f>(E174*P174)*1.35*1.05*1.03*1.08</f>
        <v/>
      </c>
      <c r="R174" s="4" t="n">
        <v>1912</v>
      </c>
      <c r="S174" s="5">
        <f>(E174*R174)*1.35*1.05*1.03*1.08</f>
        <v/>
      </c>
      <c r="T174" s="4" t="n">
        <v>1912</v>
      </c>
      <c r="U174" s="5">
        <f>(E174*T174)*1.35*1.05*1.03*1.08</f>
        <v/>
      </c>
      <c r="V174" s="4">
        <f>F174+N174+P174+R174+T174</f>
        <v/>
      </c>
      <c r="W174" s="5">
        <f>M174+O174+Q174+S174+U174</f>
        <v/>
      </c>
    </row>
    <row r="175">
      <c r="A175" t="inlineStr">
        <is>
          <t>Navy Dare</t>
        </is>
      </c>
      <c r="B175" t="inlineStr">
        <is>
          <t>Technical Support Specialist</t>
        </is>
      </c>
      <c r="C175" t="inlineStr">
        <is>
          <t>Non-SCA</t>
        </is>
      </c>
      <c r="D175" t="inlineStr">
        <is>
          <t>Exempt</t>
        </is>
      </c>
      <c r="E175" s="5" t="n">
        <v>80</v>
      </c>
      <c r="F175" s="4" t="n">
        <v>47800</v>
      </c>
      <c r="G175" s="5">
        <f>E175*F175</f>
        <v/>
      </c>
      <c r="H175" s="5">
        <f>G175*0.35</f>
        <v/>
      </c>
      <c r="I175" s="5">
        <f>(G175+H175)*0.05</f>
        <v/>
      </c>
      <c r="J175" s="5">
        <f>(G175+H175+I175)*0.03</f>
        <v/>
      </c>
      <c r="K175" s="5">
        <f>G175+H175+I175+J175</f>
        <v/>
      </c>
      <c r="L175" s="5">
        <f>K175*0.08</f>
        <v/>
      </c>
      <c r="M175" s="5">
        <f>K175+L175</f>
        <v/>
      </c>
      <c r="N175" s="4" t="n">
        <v>9560</v>
      </c>
      <c r="O175" s="5">
        <f>(E175*N175)*1.35*1.05*1.03*1.08</f>
        <v/>
      </c>
      <c r="P175" s="4" t="n">
        <v>9560</v>
      </c>
      <c r="Q175" s="5">
        <f>(E175*P175)*1.35*1.05*1.03*1.08</f>
        <v/>
      </c>
      <c r="R175" s="4" t="n">
        <v>9560</v>
      </c>
      <c r="S175" s="5">
        <f>(E175*R175)*1.35*1.05*1.03*1.08</f>
        <v/>
      </c>
      <c r="T175" s="4" t="n">
        <v>9560</v>
      </c>
      <c r="U175" s="5">
        <f>(E175*T175)*1.35*1.05*1.03*1.08</f>
        <v/>
      </c>
      <c r="V175" s="4">
        <f>F175+N175+P175+R175+T175</f>
        <v/>
      </c>
      <c r="W175" s="5">
        <f>M175+O175+Q175+S175+U175</f>
        <v/>
      </c>
    </row>
    <row r="176">
      <c r="A176" t="inlineStr">
        <is>
          <t>Navy Dare</t>
        </is>
      </c>
      <c r="B176" t="inlineStr">
        <is>
          <t>Electronics Technician III</t>
        </is>
      </c>
      <c r="C176" t="inlineStr">
        <is>
          <t>SCA</t>
        </is>
      </c>
      <c r="D176" t="inlineStr">
        <is>
          <t>CBA</t>
        </is>
      </c>
      <c r="E176" s="5" t="n">
        <v>41.2</v>
      </c>
      <c r="F176" s="4" t="n">
        <v>28680</v>
      </c>
      <c r="G176" s="5">
        <f>E176*F176</f>
        <v/>
      </c>
      <c r="H176" s="5">
        <f>G176*0.35</f>
        <v/>
      </c>
      <c r="I176" s="5">
        <f>(G176+H176)*0.05</f>
        <v/>
      </c>
      <c r="J176" s="5">
        <f>(G176+H176+I176)*0.03</f>
        <v/>
      </c>
      <c r="K176" s="5">
        <f>G176+H176+I176+J176</f>
        <v/>
      </c>
      <c r="L176" s="5">
        <f>K176*0.08</f>
        <v/>
      </c>
      <c r="M176" s="5">
        <f>K176+L176</f>
        <v/>
      </c>
      <c r="N176" s="4" t="n">
        <v>5736</v>
      </c>
      <c r="O176" s="5">
        <f>(E176*N176)*1.35*1.05*1.03*1.08</f>
        <v/>
      </c>
      <c r="P176" s="4" t="n">
        <v>5736</v>
      </c>
      <c r="Q176" s="5">
        <f>(E176*P176)*1.35*1.05*1.03*1.08</f>
        <v/>
      </c>
      <c r="R176" s="4" t="n">
        <v>5736</v>
      </c>
      <c r="S176" s="5">
        <f>(E176*R176)*1.35*1.05*1.03*1.08</f>
        <v/>
      </c>
      <c r="T176" s="4" t="n">
        <v>5736</v>
      </c>
      <c r="U176" s="5">
        <f>(E176*T176)*1.35*1.05*1.03*1.08</f>
        <v/>
      </c>
      <c r="V176" s="4">
        <f>F176+N176+P176+R176+T176</f>
        <v/>
      </c>
      <c r="W176" s="5">
        <f>M176+O176+Q176+S176+U176</f>
        <v/>
      </c>
    </row>
    <row r="177">
      <c r="A177" t="inlineStr">
        <is>
          <t>Navy Dare</t>
        </is>
      </c>
      <c r="B177" t="inlineStr">
        <is>
          <t>Engineering Technician V</t>
        </is>
      </c>
      <c r="C177" t="inlineStr">
        <is>
          <t>SCA</t>
        </is>
      </c>
      <c r="D177" t="inlineStr">
        <is>
          <t>SCLS</t>
        </is>
      </c>
      <c r="E177" s="5" t="n">
        <v>30.12</v>
      </c>
      <c r="F177" s="4" t="n">
        <v>19120</v>
      </c>
      <c r="G177" s="5">
        <f>E177*F177</f>
        <v/>
      </c>
      <c r="H177" s="5">
        <f>G177*0.35</f>
        <v/>
      </c>
      <c r="I177" s="5">
        <f>(G177+H177)*0.05</f>
        <v/>
      </c>
      <c r="J177" s="5">
        <f>(G177+H177+I177)*0.03</f>
        <v/>
      </c>
      <c r="K177" s="5">
        <f>G177+H177+I177+J177</f>
        <v/>
      </c>
      <c r="L177" s="5">
        <f>K177*0.08</f>
        <v/>
      </c>
      <c r="M177" s="5">
        <f>K177+L177</f>
        <v/>
      </c>
      <c r="N177" s="4" t="n">
        <v>3824</v>
      </c>
      <c r="O177" s="5">
        <f>(E177*N177)*1.35*1.05*1.03*1.08</f>
        <v/>
      </c>
      <c r="P177" s="4" t="n">
        <v>3824</v>
      </c>
      <c r="Q177" s="5">
        <f>(E177*P177)*1.35*1.05*1.03*1.08</f>
        <v/>
      </c>
      <c r="R177" s="4" t="n">
        <v>3824</v>
      </c>
      <c r="S177" s="5">
        <f>(E177*R177)*1.35*1.05*1.03*1.08</f>
        <v/>
      </c>
      <c r="T177" s="4" t="n">
        <v>3824</v>
      </c>
      <c r="U177" s="5">
        <f>(E177*T177)*1.35*1.05*1.03*1.08</f>
        <v/>
      </c>
      <c r="V177" s="4">
        <f>F177+N177+P177+R177+T177</f>
        <v/>
      </c>
      <c r="W177" s="5">
        <f>M177+O177+Q177+S177+U177</f>
        <v/>
      </c>
    </row>
    <row r="178">
      <c r="A178" t="inlineStr">
        <is>
          <t>Navy Dare</t>
        </is>
      </c>
      <c r="B178" t="inlineStr">
        <is>
          <t>General Maintenance Worker</t>
        </is>
      </c>
      <c r="C178" t="inlineStr">
        <is>
          <t>SCA</t>
        </is>
      </c>
      <c r="D178" t="inlineStr">
        <is>
          <t>CBA</t>
        </is>
      </c>
      <c r="E178" s="5" t="n">
        <v>21.19</v>
      </c>
      <c r="F178" s="4" t="n">
        <v>9560</v>
      </c>
      <c r="G178" s="5">
        <f>E178*F178</f>
        <v/>
      </c>
      <c r="H178" s="5">
        <f>G178*0.35</f>
        <v/>
      </c>
      <c r="I178" s="5">
        <f>(G178+H178)*0.05</f>
        <v/>
      </c>
      <c r="J178" s="5">
        <f>(G178+H178+I178)*0.03</f>
        <v/>
      </c>
      <c r="K178" s="5">
        <f>G178+H178+I178+J178</f>
        <v/>
      </c>
      <c r="L178" s="5">
        <f>K178*0.08</f>
        <v/>
      </c>
      <c r="M178" s="5">
        <f>K178+L178</f>
        <v/>
      </c>
      <c r="N178" s="4" t="n">
        <v>1912</v>
      </c>
      <c r="O178" s="5">
        <f>(E178*N178)*1.35*1.05*1.03*1.08</f>
        <v/>
      </c>
      <c r="P178" s="4" t="n">
        <v>1912</v>
      </c>
      <c r="Q178" s="5">
        <f>(E178*P178)*1.35*1.05*1.03*1.08</f>
        <v/>
      </c>
      <c r="R178" s="4" t="n">
        <v>1912</v>
      </c>
      <c r="S178" s="5">
        <f>(E178*R178)*1.35*1.05*1.03*1.08</f>
        <v/>
      </c>
      <c r="T178" s="4" t="n">
        <v>1912</v>
      </c>
      <c r="U178" s="5">
        <f>(E178*T178)*1.35*1.05*1.03*1.08</f>
        <v/>
      </c>
      <c r="V178" s="4">
        <f>F178+N178+P178+R178+T178</f>
        <v/>
      </c>
      <c r="W178" s="5">
        <f>M178+O178+Q178+S178+U178</f>
        <v/>
      </c>
    </row>
    <row r="179">
      <c r="A179" t="inlineStr">
        <is>
          <t>Navy Dare</t>
        </is>
      </c>
      <c r="B179" t="inlineStr">
        <is>
          <t>Motor Vehicle Mechanic</t>
        </is>
      </c>
      <c r="C179" t="inlineStr">
        <is>
          <t>SCA</t>
        </is>
      </c>
      <c r="D179" t="inlineStr">
        <is>
          <t>SCLS</t>
        </is>
      </c>
      <c r="E179" s="5" t="n">
        <v>22.17</v>
      </c>
      <c r="F179" s="4" t="n">
        <v>9560</v>
      </c>
      <c r="G179" s="5">
        <f>E179*F179</f>
        <v/>
      </c>
      <c r="H179" s="5">
        <f>G179*0.35</f>
        <v/>
      </c>
      <c r="I179" s="5">
        <f>(G179+H179)*0.05</f>
        <v/>
      </c>
      <c r="J179" s="5">
        <f>(G179+H179+I179)*0.03</f>
        <v/>
      </c>
      <c r="K179" s="5">
        <f>G179+H179+I179+J179</f>
        <v/>
      </c>
      <c r="L179" s="5">
        <f>K179*0.08</f>
        <v/>
      </c>
      <c r="M179" s="5">
        <f>K179+L179</f>
        <v/>
      </c>
      <c r="N179" s="4" t="n">
        <v>1912</v>
      </c>
      <c r="O179" s="5">
        <f>(E179*N179)*1.35*1.05*1.03*1.08</f>
        <v/>
      </c>
      <c r="P179" s="4" t="n">
        <v>1912</v>
      </c>
      <c r="Q179" s="5">
        <f>(E179*P179)*1.35*1.05*1.03*1.08</f>
        <v/>
      </c>
      <c r="R179" s="4" t="n">
        <v>1912</v>
      </c>
      <c r="S179" s="5">
        <f>(E179*R179)*1.35*1.05*1.03*1.08</f>
        <v/>
      </c>
      <c r="T179" s="4" t="n">
        <v>1912</v>
      </c>
      <c r="U179" s="5">
        <f>(E179*T179)*1.35*1.05*1.03*1.08</f>
        <v/>
      </c>
      <c r="V179" s="4">
        <f>F179+N179+P179+R179+T179</f>
        <v/>
      </c>
      <c r="W179" s="5">
        <f>M179+O179+Q179+S179+U179</f>
        <v/>
      </c>
    </row>
    <row r="180">
      <c r="A180" t="inlineStr">
        <is>
          <t>Navy Dare</t>
        </is>
      </c>
      <c r="B180" t="inlineStr">
        <is>
          <t>Logistician Analyst IV</t>
        </is>
      </c>
      <c r="C180" t="inlineStr">
        <is>
          <t>Non-SCA</t>
        </is>
      </c>
      <c r="D180" t="inlineStr">
        <is>
          <t>Exempt</t>
        </is>
      </c>
      <c r="E180" s="5" t="n">
        <v>75</v>
      </c>
      <c r="F180" s="4" t="n">
        <v>9560</v>
      </c>
      <c r="G180" s="5">
        <f>E180*F180</f>
        <v/>
      </c>
      <c r="H180" s="5">
        <f>G180*0.35</f>
        <v/>
      </c>
      <c r="I180" s="5">
        <f>(G180+H180)*0.05</f>
        <v/>
      </c>
      <c r="J180" s="5">
        <f>(G180+H180+I180)*0.03</f>
        <v/>
      </c>
      <c r="K180" s="5">
        <f>G180+H180+I180+J180</f>
        <v/>
      </c>
      <c r="L180" s="5">
        <f>K180*0.08</f>
        <v/>
      </c>
      <c r="M180" s="5">
        <f>K180+L180</f>
        <v/>
      </c>
      <c r="N180" s="4" t="n">
        <v>1912</v>
      </c>
      <c r="O180" s="5">
        <f>(E180*N180)*1.35*1.05*1.03*1.08</f>
        <v/>
      </c>
      <c r="P180" s="4" t="n">
        <v>1912</v>
      </c>
      <c r="Q180" s="5">
        <f>(E180*P180)*1.35*1.05*1.03*1.08</f>
        <v/>
      </c>
      <c r="R180" s="4" t="n">
        <v>1912</v>
      </c>
      <c r="S180" s="5">
        <f>(E180*R180)*1.35*1.05*1.03*1.08</f>
        <v/>
      </c>
      <c r="T180" s="4" t="n">
        <v>1912</v>
      </c>
      <c r="U180" s="5">
        <f>(E180*T180)*1.35*1.05*1.03*1.08</f>
        <v/>
      </c>
      <c r="V180" s="4">
        <f>F180+N180+P180+R180+T180</f>
        <v/>
      </c>
      <c r="W180" s="5">
        <f>M180+O180+Q180+S180+U180</f>
        <v/>
      </c>
    </row>
    <row r="181">
      <c r="A181" t="inlineStr">
        <is>
          <t>Navy Dare</t>
        </is>
      </c>
      <c r="B181" t="inlineStr">
        <is>
          <t>Quality Assurance/Safety Evaluator</t>
        </is>
      </c>
      <c r="C181" t="inlineStr">
        <is>
          <t>Non-SCA</t>
        </is>
      </c>
      <c r="D181" t="inlineStr">
        <is>
          <t>Exempt</t>
        </is>
      </c>
      <c r="E181" s="5" t="n">
        <v>75</v>
      </c>
      <c r="F181" s="4" t="n">
        <v>9560</v>
      </c>
      <c r="G181" s="5">
        <f>E181*F181</f>
        <v/>
      </c>
      <c r="H181" s="5">
        <f>G181*0.35</f>
        <v/>
      </c>
      <c r="I181" s="5">
        <f>(G181+H181)*0.05</f>
        <v/>
      </c>
      <c r="J181" s="5">
        <f>(G181+H181+I181)*0.03</f>
        <v/>
      </c>
      <c r="K181" s="5">
        <f>G181+H181+I181+J181</f>
        <v/>
      </c>
      <c r="L181" s="5">
        <f>K181*0.08</f>
        <v/>
      </c>
      <c r="M181" s="5">
        <f>K181+L181</f>
        <v/>
      </c>
      <c r="N181" s="4" t="n">
        <v>1912</v>
      </c>
      <c r="O181" s="5">
        <f>(E181*N181)*1.35*1.05*1.03*1.08</f>
        <v/>
      </c>
      <c r="P181" s="4" t="n">
        <v>1912</v>
      </c>
      <c r="Q181" s="5">
        <f>(E181*P181)*1.35*1.05*1.03*1.08</f>
        <v/>
      </c>
      <c r="R181" s="4" t="n">
        <v>1912</v>
      </c>
      <c r="S181" s="5">
        <f>(E181*R181)*1.35*1.05*1.03*1.08</f>
        <v/>
      </c>
      <c r="T181" s="4" t="n">
        <v>1912</v>
      </c>
      <c r="U181" s="5">
        <f>(E181*T181)*1.35*1.05*1.03*1.08</f>
        <v/>
      </c>
      <c r="V181" s="4">
        <f>F181+N181+P181+R181+T181</f>
        <v/>
      </c>
      <c r="W181" s="5">
        <f>M181+O181+Q181+S181+U181</f>
        <v/>
      </c>
    </row>
    <row r="182">
      <c r="A182" t="inlineStr">
        <is>
          <t>NCAMS</t>
        </is>
      </c>
      <c r="B182" t="inlineStr">
        <is>
          <t>Site Manager</t>
        </is>
      </c>
      <c r="C182" t="inlineStr">
        <is>
          <t>Non-SCA</t>
        </is>
      </c>
      <c r="D182" t="inlineStr">
        <is>
          <t>Exempt</t>
        </is>
      </c>
      <c r="E182" s="5" t="n">
        <v>95</v>
      </c>
      <c r="F182" s="4" t="n">
        <v>9560</v>
      </c>
      <c r="G182" s="5">
        <f>E182*F182</f>
        <v/>
      </c>
      <c r="H182" s="5">
        <f>G182*0.35</f>
        <v/>
      </c>
      <c r="I182" s="5">
        <f>(G182+H182)*0.05</f>
        <v/>
      </c>
      <c r="J182" s="5">
        <f>(G182+H182+I182)*0.03</f>
        <v/>
      </c>
      <c r="K182" s="5">
        <f>G182+H182+I182+J182</f>
        <v/>
      </c>
      <c r="L182" s="5">
        <f>K182*0.08</f>
        <v/>
      </c>
      <c r="M182" s="5">
        <f>K182+L182</f>
        <v/>
      </c>
      <c r="N182" s="4" t="n">
        <v>1912</v>
      </c>
      <c r="O182" s="5">
        <f>(E182*N182)*1.35*1.05*1.03*1.08</f>
        <v/>
      </c>
      <c r="P182" s="4" t="n">
        <v>1912</v>
      </c>
      <c r="Q182" s="5">
        <f>(E182*P182)*1.35*1.05*1.03*1.08</f>
        <v/>
      </c>
      <c r="R182" s="4" t="n">
        <v>1912</v>
      </c>
      <c r="S182" s="5">
        <f>(E182*R182)*1.35*1.05*1.03*1.08</f>
        <v/>
      </c>
      <c r="T182" s="4" t="n">
        <v>1912</v>
      </c>
      <c r="U182" s="5">
        <f>(E182*T182)*1.35*1.05*1.03*1.08</f>
        <v/>
      </c>
      <c r="V182" s="4">
        <f>F182+N182+P182+R182+T182</f>
        <v/>
      </c>
      <c r="W182" s="5">
        <f>M182+O182+Q182+S182+U182</f>
        <v/>
      </c>
    </row>
    <row r="183">
      <c r="A183" t="inlineStr">
        <is>
          <t>NCAMS</t>
        </is>
      </c>
      <c r="B183" t="inlineStr">
        <is>
          <t>Technical Coordinator</t>
        </is>
      </c>
      <c r="C183" t="inlineStr">
        <is>
          <t>Non-SCA</t>
        </is>
      </c>
      <c r="D183" t="inlineStr">
        <is>
          <t>Exempt</t>
        </is>
      </c>
      <c r="E183" s="5" t="n">
        <v>80</v>
      </c>
      <c r="F183" s="4" t="n">
        <v>38240</v>
      </c>
      <c r="G183" s="5">
        <f>E183*F183</f>
        <v/>
      </c>
      <c r="H183" s="5">
        <f>G183*0.35</f>
        <v/>
      </c>
      <c r="I183" s="5">
        <f>(G183+H183)*0.05</f>
        <v/>
      </c>
      <c r="J183" s="5">
        <f>(G183+H183+I183)*0.03</f>
        <v/>
      </c>
      <c r="K183" s="5">
        <f>G183+H183+I183+J183</f>
        <v/>
      </c>
      <c r="L183" s="5">
        <f>K183*0.08</f>
        <v/>
      </c>
      <c r="M183" s="5">
        <f>K183+L183</f>
        <v/>
      </c>
      <c r="N183" s="4" t="n">
        <v>7648</v>
      </c>
      <c r="O183" s="5">
        <f>(E183*N183)*1.35*1.05*1.03*1.08</f>
        <v/>
      </c>
      <c r="P183" s="4" t="n">
        <v>7648</v>
      </c>
      <c r="Q183" s="5">
        <f>(E183*P183)*1.35*1.05*1.03*1.08</f>
        <v/>
      </c>
      <c r="R183" s="4" t="n">
        <v>7648</v>
      </c>
      <c r="S183" s="5">
        <f>(E183*R183)*1.35*1.05*1.03*1.08</f>
        <v/>
      </c>
      <c r="T183" s="4" t="n">
        <v>7648</v>
      </c>
      <c r="U183" s="5">
        <f>(E183*T183)*1.35*1.05*1.03*1.08</f>
        <v/>
      </c>
      <c r="V183" s="4">
        <f>F183+N183+P183+R183+T183</f>
        <v/>
      </c>
      <c r="W183" s="5">
        <f>M183+O183+Q183+S183+U183</f>
        <v/>
      </c>
    </row>
    <row r="184">
      <c r="A184" t="inlineStr">
        <is>
          <t>NCAMS</t>
        </is>
      </c>
      <c r="B184" t="inlineStr">
        <is>
          <t>Operations Analyst</t>
        </is>
      </c>
      <c r="C184" t="inlineStr">
        <is>
          <t>Non-SCA</t>
        </is>
      </c>
      <c r="D184" t="inlineStr">
        <is>
          <t>Exempt</t>
        </is>
      </c>
      <c r="E184" s="5" t="n">
        <v>80</v>
      </c>
      <c r="F184" s="4" t="n">
        <v>9560</v>
      </c>
      <c r="G184" s="5">
        <f>E184*F184</f>
        <v/>
      </c>
      <c r="H184" s="5">
        <f>G184*0.35</f>
        <v/>
      </c>
      <c r="I184" s="5">
        <f>(G184+H184)*0.05</f>
        <v/>
      </c>
      <c r="J184" s="5">
        <f>(G184+H184+I184)*0.03</f>
        <v/>
      </c>
      <c r="K184" s="5">
        <f>G184+H184+I184+J184</f>
        <v/>
      </c>
      <c r="L184" s="5">
        <f>K184*0.08</f>
        <v/>
      </c>
      <c r="M184" s="5">
        <f>K184+L184</f>
        <v/>
      </c>
      <c r="N184" s="4" t="n">
        <v>1912</v>
      </c>
      <c r="O184" s="5">
        <f>(E184*N184)*1.35*1.05*1.03*1.08</f>
        <v/>
      </c>
      <c r="P184" s="4" t="n">
        <v>1912</v>
      </c>
      <c r="Q184" s="5">
        <f>(E184*P184)*1.35*1.05*1.03*1.08</f>
        <v/>
      </c>
      <c r="R184" s="4" t="n">
        <v>1912</v>
      </c>
      <c r="S184" s="5">
        <f>(E184*R184)*1.35*1.05*1.03*1.08</f>
        <v/>
      </c>
      <c r="T184" s="4" t="n">
        <v>1912</v>
      </c>
      <c r="U184" s="5">
        <f>(E184*T184)*1.35*1.05*1.03*1.08</f>
        <v/>
      </c>
      <c r="V184" s="4">
        <f>F184+N184+P184+R184+T184</f>
        <v/>
      </c>
      <c r="W184" s="5">
        <f>M184+O184+Q184+S184+U184</f>
        <v/>
      </c>
    </row>
    <row r="185">
      <c r="A185" t="inlineStr">
        <is>
          <t>NCAMS</t>
        </is>
      </c>
      <c r="B185" t="inlineStr">
        <is>
          <t>Tactical Data Link Analyst</t>
        </is>
      </c>
      <c r="C185" t="inlineStr">
        <is>
          <t>Non-SCA</t>
        </is>
      </c>
      <c r="D185" t="inlineStr">
        <is>
          <t>Exempt</t>
        </is>
      </c>
      <c r="E185" s="5" t="n">
        <v>75</v>
      </c>
      <c r="F185" s="4" t="n">
        <v>9560</v>
      </c>
      <c r="G185" s="5">
        <f>E185*F185</f>
        <v/>
      </c>
      <c r="H185" s="5">
        <f>G185*0.35</f>
        <v/>
      </c>
      <c r="I185" s="5">
        <f>(G185+H185)*0.05</f>
        <v/>
      </c>
      <c r="J185" s="5">
        <f>(G185+H185+I185)*0.03</f>
        <v/>
      </c>
      <c r="K185" s="5">
        <f>G185+H185+I185+J185</f>
        <v/>
      </c>
      <c r="L185" s="5">
        <f>K185*0.08</f>
        <v/>
      </c>
      <c r="M185" s="5">
        <f>K185+L185</f>
        <v/>
      </c>
      <c r="N185" s="4" t="n">
        <v>1912</v>
      </c>
      <c r="O185" s="5">
        <f>(E185*N185)*1.35*1.05*1.03*1.08</f>
        <v/>
      </c>
      <c r="P185" s="4" t="n">
        <v>1912</v>
      </c>
      <c r="Q185" s="5">
        <f>(E185*P185)*1.35*1.05*1.03*1.08</f>
        <v/>
      </c>
      <c r="R185" s="4" t="n">
        <v>1912</v>
      </c>
      <c r="S185" s="5">
        <f>(E185*R185)*1.35*1.05*1.03*1.08</f>
        <v/>
      </c>
      <c r="T185" s="4" t="n">
        <v>1912</v>
      </c>
      <c r="U185" s="5">
        <f>(E185*T185)*1.35*1.05*1.03*1.08</f>
        <v/>
      </c>
      <c r="V185" s="4">
        <f>F185+N185+P185+R185+T185</f>
        <v/>
      </c>
      <c r="W185" s="5">
        <f>M185+O185+Q185+S185+U185</f>
        <v/>
      </c>
    </row>
    <row r="186">
      <c r="A186" t="inlineStr">
        <is>
          <t>NCAMS</t>
        </is>
      </c>
      <c r="B186" t="inlineStr">
        <is>
          <t>Network Analyst IV</t>
        </is>
      </c>
      <c r="C186" t="inlineStr">
        <is>
          <t>Non-SCA</t>
        </is>
      </c>
      <c r="D186" t="inlineStr">
        <is>
          <t>Exempt</t>
        </is>
      </c>
      <c r="E186" s="5" t="n">
        <v>80</v>
      </c>
      <c r="F186" s="4" t="n">
        <v>19120</v>
      </c>
      <c r="G186" s="5">
        <f>E186*F186</f>
        <v/>
      </c>
      <c r="H186" s="5">
        <f>G186*0.35</f>
        <v/>
      </c>
      <c r="I186" s="5">
        <f>(G186+H186)*0.05</f>
        <v/>
      </c>
      <c r="J186" s="5">
        <f>(G186+H186+I186)*0.03</f>
        <v/>
      </c>
      <c r="K186" s="5">
        <f>G186+H186+I186+J186</f>
        <v/>
      </c>
      <c r="L186" s="5">
        <f>K186*0.08</f>
        <v/>
      </c>
      <c r="M186" s="5">
        <f>K186+L186</f>
        <v/>
      </c>
      <c r="N186" s="4" t="n">
        <v>3824</v>
      </c>
      <c r="O186" s="5">
        <f>(E186*N186)*1.35*1.05*1.03*1.08</f>
        <v/>
      </c>
      <c r="P186" s="4" t="n">
        <v>3824</v>
      </c>
      <c r="Q186" s="5">
        <f>(E186*P186)*1.35*1.05*1.03*1.08</f>
        <v/>
      </c>
      <c r="R186" s="4" t="n">
        <v>3824</v>
      </c>
      <c r="S186" s="5">
        <f>(E186*R186)*1.35*1.05*1.03*1.08</f>
        <v/>
      </c>
      <c r="T186" s="4" t="n">
        <v>3824</v>
      </c>
      <c r="U186" s="5">
        <f>(E186*T186)*1.35*1.05*1.03*1.08</f>
        <v/>
      </c>
      <c r="V186" s="4">
        <f>F186+N186+P186+R186+T186</f>
        <v/>
      </c>
      <c r="W186" s="5">
        <f>M186+O186+Q186+S186+U186</f>
        <v/>
      </c>
    </row>
    <row r="187">
      <c r="A187" t="inlineStr">
        <is>
          <t>NCAMS</t>
        </is>
      </c>
      <c r="B187" t="inlineStr">
        <is>
          <t>Computer Systems Analyst II</t>
        </is>
      </c>
      <c r="C187" t="inlineStr">
        <is>
          <t>SCA</t>
        </is>
      </c>
      <c r="D187" t="inlineStr">
        <is>
          <t>SCLS</t>
        </is>
      </c>
      <c r="E187" s="5" t="n">
        <v>75</v>
      </c>
      <c r="F187" s="4" t="n">
        <v>19120</v>
      </c>
      <c r="G187" s="5">
        <f>E187*F187</f>
        <v/>
      </c>
      <c r="H187" s="5">
        <f>G187*0.35</f>
        <v/>
      </c>
      <c r="I187" s="5">
        <f>(G187+H187)*0.05</f>
        <v/>
      </c>
      <c r="J187" s="5">
        <f>(G187+H187+I187)*0.03</f>
        <v/>
      </c>
      <c r="K187" s="5">
        <f>G187+H187+I187+J187</f>
        <v/>
      </c>
      <c r="L187" s="5">
        <f>K187*0.08</f>
        <v/>
      </c>
      <c r="M187" s="5">
        <f>K187+L187</f>
        <v/>
      </c>
      <c r="N187" s="4" t="n">
        <v>3824</v>
      </c>
      <c r="O187" s="5">
        <f>(E187*N187)*1.35*1.05*1.03*1.08</f>
        <v/>
      </c>
      <c r="P187" s="4" t="n">
        <v>3824</v>
      </c>
      <c r="Q187" s="5">
        <f>(E187*P187)*1.35*1.05*1.03*1.08</f>
        <v/>
      </c>
      <c r="R187" s="4" t="n">
        <v>3824</v>
      </c>
      <c r="S187" s="5">
        <f>(E187*R187)*1.35*1.05*1.03*1.08</f>
        <v/>
      </c>
      <c r="T187" s="4" t="n">
        <v>3824</v>
      </c>
      <c r="U187" s="5">
        <f>(E187*T187)*1.35*1.05*1.03*1.08</f>
        <v/>
      </c>
      <c r="V187" s="4">
        <f>F187+N187+P187+R187+T187</f>
        <v/>
      </c>
      <c r="W187" s="5">
        <f>M187+O187+Q187+S187+U187</f>
        <v/>
      </c>
    </row>
    <row r="188">
      <c r="A188" t="inlineStr">
        <is>
          <t>NCAMS</t>
        </is>
      </c>
      <c r="B188" t="inlineStr">
        <is>
          <t>Computer Operator IV</t>
        </is>
      </c>
      <c r="C188" t="inlineStr">
        <is>
          <t>SCA</t>
        </is>
      </c>
      <c r="D188" t="inlineStr">
        <is>
          <t>SCLS</t>
        </is>
      </c>
      <c r="E188" s="5" t="n">
        <v>23.82</v>
      </c>
      <c r="F188" s="4" t="n">
        <v>38240</v>
      </c>
      <c r="G188" s="5">
        <f>E188*F188</f>
        <v/>
      </c>
      <c r="H188" s="5">
        <f>G188*0.35</f>
        <v/>
      </c>
      <c r="I188" s="5">
        <f>(G188+H188)*0.05</f>
        <v/>
      </c>
      <c r="J188" s="5">
        <f>(G188+H188+I188)*0.03</f>
        <v/>
      </c>
      <c r="K188" s="5">
        <f>G188+H188+I188+J188</f>
        <v/>
      </c>
      <c r="L188" s="5">
        <f>K188*0.08</f>
        <v/>
      </c>
      <c r="M188" s="5">
        <f>K188+L188</f>
        <v/>
      </c>
      <c r="N188" s="4" t="n">
        <v>7648</v>
      </c>
      <c r="O188" s="5">
        <f>(E188*N188)*1.35*1.05*1.03*1.08</f>
        <v/>
      </c>
      <c r="P188" s="4" t="n">
        <v>7648</v>
      </c>
      <c r="Q188" s="5">
        <f>(E188*P188)*1.35*1.05*1.03*1.08</f>
        <v/>
      </c>
      <c r="R188" s="4" t="n">
        <v>7648</v>
      </c>
      <c r="S188" s="5">
        <f>(E188*R188)*1.35*1.05*1.03*1.08</f>
        <v/>
      </c>
      <c r="T188" s="4" t="n">
        <v>7648</v>
      </c>
      <c r="U188" s="5">
        <f>(E188*T188)*1.35*1.05*1.03*1.08</f>
        <v/>
      </c>
      <c r="V188" s="4">
        <f>F188+N188+P188+R188+T188</f>
        <v/>
      </c>
      <c r="W188" s="5">
        <f>M188+O188+Q188+S188+U188</f>
        <v/>
      </c>
    </row>
    <row r="189">
      <c r="A189" t="inlineStr">
        <is>
          <t>Oceana</t>
        </is>
      </c>
      <c r="B189" t="inlineStr">
        <is>
          <t>Program Manager</t>
        </is>
      </c>
      <c r="C189" t="inlineStr">
        <is>
          <t>Non-SCA</t>
        </is>
      </c>
      <c r="D189" t="inlineStr">
        <is>
          <t>Exempt</t>
        </is>
      </c>
      <c r="E189" s="5" t="n">
        <v>80</v>
      </c>
      <c r="F189" s="4" t="n">
        <v>9560</v>
      </c>
      <c r="G189" s="5">
        <f>E189*F189</f>
        <v/>
      </c>
      <c r="H189" s="5">
        <f>G189*0.35</f>
        <v/>
      </c>
      <c r="I189" s="5">
        <f>(G189+H189)*0.05</f>
        <v/>
      </c>
      <c r="J189" s="5">
        <f>(G189+H189+I189)*0.03</f>
        <v/>
      </c>
      <c r="K189" s="5">
        <f>G189+H189+I189+J189</f>
        <v/>
      </c>
      <c r="L189" s="5">
        <f>K189*0.08</f>
        <v/>
      </c>
      <c r="M189" s="5">
        <f>K189+L189</f>
        <v/>
      </c>
      <c r="N189" s="4" t="n">
        <v>1912</v>
      </c>
      <c r="O189" s="5">
        <f>(E189*N189)*1.35*1.05*1.03*1.08</f>
        <v/>
      </c>
      <c r="P189" s="4" t="n">
        <v>1912</v>
      </c>
      <c r="Q189" s="5">
        <f>(E189*P189)*1.35*1.05*1.03*1.08</f>
        <v/>
      </c>
      <c r="R189" s="4" t="n">
        <v>1912</v>
      </c>
      <c r="S189" s="5">
        <f>(E189*R189)*1.35*1.05*1.03*1.08</f>
        <v/>
      </c>
      <c r="T189" s="4" t="n">
        <v>1912</v>
      </c>
      <c r="U189" s="5">
        <f>(E189*T189)*1.35*1.05*1.03*1.08</f>
        <v/>
      </c>
      <c r="V189" s="4">
        <f>F189+N189+P189+R189+T189</f>
        <v/>
      </c>
      <c r="W189" s="5">
        <f>M189+O189+Q189+S189+U189</f>
        <v/>
      </c>
    </row>
    <row r="190">
      <c r="A190" t="inlineStr">
        <is>
          <t>Oceana</t>
        </is>
      </c>
      <c r="B190" t="inlineStr">
        <is>
          <t>Site Manager</t>
        </is>
      </c>
      <c r="C190" t="inlineStr">
        <is>
          <t>Non-SCA</t>
        </is>
      </c>
      <c r="D190" t="inlineStr">
        <is>
          <t>Exempt</t>
        </is>
      </c>
      <c r="E190" s="5" t="n">
        <v>95</v>
      </c>
      <c r="F190" s="4" t="n">
        <v>9560</v>
      </c>
      <c r="G190" s="5">
        <f>E190*F190</f>
        <v/>
      </c>
      <c r="H190" s="5">
        <f>G190*0.35</f>
        <v/>
      </c>
      <c r="I190" s="5">
        <f>(G190+H190)*0.05</f>
        <v/>
      </c>
      <c r="J190" s="5">
        <f>(G190+H190+I190)*0.03</f>
        <v/>
      </c>
      <c r="K190" s="5">
        <f>G190+H190+I190+J190</f>
        <v/>
      </c>
      <c r="L190" s="5">
        <f>K190*0.08</f>
        <v/>
      </c>
      <c r="M190" s="5">
        <f>K190+L190</f>
        <v/>
      </c>
      <c r="N190" s="4" t="n">
        <v>1912</v>
      </c>
      <c r="O190" s="5">
        <f>(E190*N190)*1.35*1.05*1.03*1.08</f>
        <v/>
      </c>
      <c r="P190" s="4" t="n">
        <v>1912</v>
      </c>
      <c r="Q190" s="5">
        <f>(E190*P190)*1.35*1.05*1.03*1.08</f>
        <v/>
      </c>
      <c r="R190" s="4" t="n">
        <v>1912</v>
      </c>
      <c r="S190" s="5">
        <f>(E190*R190)*1.35*1.05*1.03*1.08</f>
        <v/>
      </c>
      <c r="T190" s="4" t="n">
        <v>1912</v>
      </c>
      <c r="U190" s="5">
        <f>(E190*T190)*1.35*1.05*1.03*1.08</f>
        <v/>
      </c>
      <c r="V190" s="4">
        <f>F190+N190+P190+R190+T190</f>
        <v/>
      </c>
      <c r="W190" s="5">
        <f>M190+O190+Q190+S190+U190</f>
        <v/>
      </c>
    </row>
    <row r="191">
      <c r="A191" t="inlineStr">
        <is>
          <t>Oceana</t>
        </is>
      </c>
      <c r="B191" t="inlineStr">
        <is>
          <t>Mission Coordinator</t>
        </is>
      </c>
      <c r="C191" t="inlineStr">
        <is>
          <t>Non-SCA</t>
        </is>
      </c>
      <c r="D191" t="inlineStr">
        <is>
          <t>Exempt</t>
        </is>
      </c>
      <c r="E191" s="5" t="n">
        <v>85</v>
      </c>
      <c r="F191" s="4" t="n">
        <v>9560</v>
      </c>
      <c r="G191" s="5">
        <f>E191*F191</f>
        <v/>
      </c>
      <c r="H191" s="5">
        <f>G191*0.35</f>
        <v/>
      </c>
      <c r="I191" s="5">
        <f>(G191+H191)*0.05</f>
        <v/>
      </c>
      <c r="J191" s="5">
        <f>(G191+H191+I191)*0.03</f>
        <v/>
      </c>
      <c r="K191" s="5">
        <f>G191+H191+I191+J191</f>
        <v/>
      </c>
      <c r="L191" s="5">
        <f>K191*0.08</f>
        <v/>
      </c>
      <c r="M191" s="5">
        <f>K191+L191</f>
        <v/>
      </c>
      <c r="N191" s="4" t="n">
        <v>1912</v>
      </c>
      <c r="O191" s="5">
        <f>(E191*N191)*1.35*1.05*1.03*1.08</f>
        <v/>
      </c>
      <c r="P191" s="4" t="n">
        <v>1912</v>
      </c>
      <c r="Q191" s="5">
        <f>(E191*P191)*1.35*1.05*1.03*1.08</f>
        <v/>
      </c>
      <c r="R191" s="4" t="n">
        <v>1912</v>
      </c>
      <c r="S191" s="5">
        <f>(E191*R191)*1.35*1.05*1.03*1.08</f>
        <v/>
      </c>
      <c r="T191" s="4" t="n">
        <v>1912</v>
      </c>
      <c r="U191" s="5">
        <f>(E191*T191)*1.35*1.05*1.03*1.08</f>
        <v/>
      </c>
      <c r="V191" s="4">
        <f>F191+N191+P191+R191+T191</f>
        <v/>
      </c>
      <c r="W191" s="5">
        <f>M191+O191+Q191+S191+U191</f>
        <v/>
      </c>
    </row>
    <row r="192">
      <c r="A192" t="inlineStr">
        <is>
          <t>Oceana</t>
        </is>
      </c>
      <c r="B192" t="inlineStr">
        <is>
          <t>Mission Coordinator, Senior</t>
        </is>
      </c>
      <c r="C192" t="inlineStr">
        <is>
          <t>Non-SCA</t>
        </is>
      </c>
      <c r="D192" t="inlineStr">
        <is>
          <t>Exempt</t>
        </is>
      </c>
      <c r="E192" s="5" t="n">
        <v>95</v>
      </c>
      <c r="F192" s="4" t="n">
        <v>9560</v>
      </c>
      <c r="G192" s="5">
        <f>E192*F192</f>
        <v/>
      </c>
      <c r="H192" s="5">
        <f>G192*0.35</f>
        <v/>
      </c>
      <c r="I192" s="5">
        <f>(G192+H192)*0.05</f>
        <v/>
      </c>
      <c r="J192" s="5">
        <f>(G192+H192+I192)*0.03</f>
        <v/>
      </c>
      <c r="K192" s="5">
        <f>G192+H192+I192+J192</f>
        <v/>
      </c>
      <c r="L192" s="5">
        <f>K192*0.08</f>
        <v/>
      </c>
      <c r="M192" s="5">
        <f>K192+L192</f>
        <v/>
      </c>
      <c r="N192" s="4" t="n">
        <v>1912</v>
      </c>
      <c r="O192" s="5">
        <f>(E192*N192)*1.35*1.05*1.03*1.08</f>
        <v/>
      </c>
      <c r="P192" s="4" t="n">
        <v>1912</v>
      </c>
      <c r="Q192" s="5">
        <f>(E192*P192)*1.35*1.05*1.03*1.08</f>
        <v/>
      </c>
      <c r="R192" s="4" t="n">
        <v>1912</v>
      </c>
      <c r="S192" s="5">
        <f>(E192*R192)*1.35*1.05*1.03*1.08</f>
        <v/>
      </c>
      <c r="T192" s="4" t="n">
        <v>1912</v>
      </c>
      <c r="U192" s="5">
        <f>(E192*T192)*1.35*1.05*1.03*1.08</f>
        <v/>
      </c>
      <c r="V192" s="4">
        <f>F192+N192+P192+R192+T192</f>
        <v/>
      </c>
      <c r="W192" s="5">
        <f>M192+O192+Q192+S192+U192</f>
        <v/>
      </c>
    </row>
    <row r="193">
      <c r="A193" t="inlineStr">
        <is>
          <t>Oceana</t>
        </is>
      </c>
      <c r="B193" t="inlineStr">
        <is>
          <t>Technical Support Specialist</t>
        </is>
      </c>
      <c r="C193" t="inlineStr">
        <is>
          <t>Non-SCA</t>
        </is>
      </c>
      <c r="D193" t="inlineStr">
        <is>
          <t>Exempt</t>
        </is>
      </c>
      <c r="E193" s="5" t="n">
        <v>80</v>
      </c>
      <c r="F193" s="4" t="n">
        <v>9560</v>
      </c>
      <c r="G193" s="5">
        <f>E193*F193</f>
        <v/>
      </c>
      <c r="H193" s="5">
        <f>G193*0.35</f>
        <v/>
      </c>
      <c r="I193" s="5">
        <f>(G193+H193)*0.05</f>
        <v/>
      </c>
      <c r="J193" s="5">
        <f>(G193+H193+I193)*0.03</f>
        <v/>
      </c>
      <c r="K193" s="5">
        <f>G193+H193+I193+J193</f>
        <v/>
      </c>
      <c r="L193" s="5">
        <f>K193*0.08</f>
        <v/>
      </c>
      <c r="M193" s="5">
        <f>K193+L193</f>
        <v/>
      </c>
      <c r="N193" s="4" t="n">
        <v>1912</v>
      </c>
      <c r="O193" s="5">
        <f>(E193*N193)*1.35*1.05*1.03*1.08</f>
        <v/>
      </c>
      <c r="P193" s="4" t="n">
        <v>1912</v>
      </c>
      <c r="Q193" s="5">
        <f>(E193*P193)*1.35*1.05*1.03*1.08</f>
        <v/>
      </c>
      <c r="R193" s="4" t="n">
        <v>1912</v>
      </c>
      <c r="S193" s="5">
        <f>(E193*R193)*1.35*1.05*1.03*1.08</f>
        <v/>
      </c>
      <c r="T193" s="4" t="n">
        <v>1912</v>
      </c>
      <c r="U193" s="5">
        <f>(E193*T193)*1.35*1.05*1.03*1.08</f>
        <v/>
      </c>
      <c r="V193" s="4">
        <f>F193+N193+P193+R193+T193</f>
        <v/>
      </c>
      <c r="W193" s="5">
        <f>M193+O193+Q193+S193+U193</f>
        <v/>
      </c>
    </row>
    <row r="194">
      <c r="A194" t="inlineStr">
        <is>
          <t>Oceana</t>
        </is>
      </c>
      <c r="B194" t="inlineStr">
        <is>
          <t>Computer Operator V</t>
        </is>
      </c>
      <c r="C194" t="inlineStr">
        <is>
          <t>SCA</t>
        </is>
      </c>
      <c r="D194" t="inlineStr">
        <is>
          <t>CBA</t>
        </is>
      </c>
      <c r="E194" s="5" t="n">
        <v>28.83</v>
      </c>
      <c r="F194" s="4" t="n">
        <v>19120</v>
      </c>
      <c r="G194" s="5">
        <f>E194*F194</f>
        <v/>
      </c>
      <c r="H194" s="5">
        <f>G194*0.35</f>
        <v/>
      </c>
      <c r="I194" s="5">
        <f>(G194+H194)*0.05</f>
        <v/>
      </c>
      <c r="J194" s="5">
        <f>(G194+H194+I194)*0.03</f>
        <v/>
      </c>
      <c r="K194" s="5">
        <f>G194+H194+I194+J194</f>
        <v/>
      </c>
      <c r="L194" s="5">
        <f>K194*0.08</f>
        <v/>
      </c>
      <c r="M194" s="5">
        <f>K194+L194</f>
        <v/>
      </c>
      <c r="N194" s="4" t="n">
        <v>3824</v>
      </c>
      <c r="O194" s="5">
        <f>(E194*N194)*1.35*1.05*1.03*1.08</f>
        <v/>
      </c>
      <c r="P194" s="4" t="n">
        <v>3824</v>
      </c>
      <c r="Q194" s="5">
        <f>(E194*P194)*1.35*1.05*1.03*1.08</f>
        <v/>
      </c>
      <c r="R194" s="4" t="n">
        <v>3824</v>
      </c>
      <c r="S194" s="5">
        <f>(E194*R194)*1.35*1.05*1.03*1.08</f>
        <v/>
      </c>
      <c r="T194" s="4" t="n">
        <v>3824</v>
      </c>
      <c r="U194" s="5">
        <f>(E194*T194)*1.35*1.05*1.03*1.08</f>
        <v/>
      </c>
      <c r="V194" s="4">
        <f>F194+N194+P194+R194+T194</f>
        <v/>
      </c>
      <c r="W194" s="5">
        <f>M194+O194+Q194+S194+U194</f>
        <v/>
      </c>
    </row>
    <row r="195">
      <c r="A195" t="inlineStr">
        <is>
          <t>Oceana</t>
        </is>
      </c>
      <c r="B195" t="inlineStr">
        <is>
          <t>Operations Analyst</t>
        </is>
      </c>
      <c r="C195" t="inlineStr">
        <is>
          <t>Non-SCA</t>
        </is>
      </c>
      <c r="D195" t="inlineStr">
        <is>
          <t>Exempt</t>
        </is>
      </c>
      <c r="E195" s="5" t="n">
        <v>80</v>
      </c>
      <c r="F195" s="4" t="n">
        <v>9560</v>
      </c>
      <c r="G195" s="5">
        <f>E195*F195</f>
        <v/>
      </c>
      <c r="H195" s="5">
        <f>G195*0.35</f>
        <v/>
      </c>
      <c r="I195" s="5">
        <f>(G195+H195)*0.05</f>
        <v/>
      </c>
      <c r="J195" s="5">
        <f>(G195+H195+I195)*0.03</f>
        <v/>
      </c>
      <c r="K195" s="5">
        <f>G195+H195+I195+J195</f>
        <v/>
      </c>
      <c r="L195" s="5">
        <f>K195*0.08</f>
        <v/>
      </c>
      <c r="M195" s="5">
        <f>K195+L195</f>
        <v/>
      </c>
      <c r="N195" s="4" t="n">
        <v>1912</v>
      </c>
      <c r="O195" s="5">
        <f>(E195*N195)*1.35*1.05*1.03*1.08</f>
        <v/>
      </c>
      <c r="P195" s="4" t="n">
        <v>1912</v>
      </c>
      <c r="Q195" s="5">
        <f>(E195*P195)*1.35*1.05*1.03*1.08</f>
        <v/>
      </c>
      <c r="R195" s="4" t="n">
        <v>1912</v>
      </c>
      <c r="S195" s="5">
        <f>(E195*R195)*1.35*1.05*1.03*1.08</f>
        <v/>
      </c>
      <c r="T195" s="4" t="n">
        <v>1912</v>
      </c>
      <c r="U195" s="5">
        <f>(E195*T195)*1.35*1.05*1.03*1.08</f>
        <v/>
      </c>
      <c r="V195" s="4">
        <f>F195+N195+P195+R195+T195</f>
        <v/>
      </c>
      <c r="W195" s="5">
        <f>M195+O195+Q195+S195+U195</f>
        <v/>
      </c>
    </row>
    <row r="196">
      <c r="A196" t="inlineStr">
        <is>
          <t>Oceana</t>
        </is>
      </c>
      <c r="B196" t="inlineStr">
        <is>
          <t>Tactical Data Link Analyst</t>
        </is>
      </c>
      <c r="C196" t="inlineStr">
        <is>
          <t>Non-SCA</t>
        </is>
      </c>
      <c r="D196" t="inlineStr">
        <is>
          <t>Exempt</t>
        </is>
      </c>
      <c r="E196" s="5" t="n">
        <v>75</v>
      </c>
      <c r="F196" s="4" t="n">
        <v>9560</v>
      </c>
      <c r="G196" s="5">
        <f>E196*F196</f>
        <v/>
      </c>
      <c r="H196" s="5">
        <f>G196*0.35</f>
        <v/>
      </c>
      <c r="I196" s="5">
        <f>(G196+H196)*0.05</f>
        <v/>
      </c>
      <c r="J196" s="5">
        <f>(G196+H196+I196)*0.03</f>
        <v/>
      </c>
      <c r="K196" s="5">
        <f>G196+H196+I196+J196</f>
        <v/>
      </c>
      <c r="L196" s="5">
        <f>K196*0.08</f>
        <v/>
      </c>
      <c r="M196" s="5">
        <f>K196+L196</f>
        <v/>
      </c>
      <c r="N196" s="4" t="n">
        <v>1912</v>
      </c>
      <c r="O196" s="5">
        <f>(E196*N196)*1.35*1.05*1.03*1.08</f>
        <v/>
      </c>
      <c r="P196" s="4" t="n">
        <v>1912</v>
      </c>
      <c r="Q196" s="5">
        <f>(E196*P196)*1.35*1.05*1.03*1.08</f>
        <v/>
      </c>
      <c r="R196" s="4" t="n">
        <v>1912</v>
      </c>
      <c r="S196" s="5">
        <f>(E196*R196)*1.35*1.05*1.03*1.08</f>
        <v/>
      </c>
      <c r="T196" s="4" t="n">
        <v>1912</v>
      </c>
      <c r="U196" s="5">
        <f>(E196*T196)*1.35*1.05*1.03*1.08</f>
        <v/>
      </c>
      <c r="V196" s="4">
        <f>F196+N196+P196+R196+T196</f>
        <v/>
      </c>
      <c r="W196" s="5">
        <f>M196+O196+Q196+S196+U196</f>
        <v/>
      </c>
    </row>
    <row r="197">
      <c r="A197" t="inlineStr">
        <is>
          <t>Oceana</t>
        </is>
      </c>
      <c r="B197" t="inlineStr">
        <is>
          <t>Engineering Technician IV</t>
        </is>
      </c>
      <c r="C197" t="inlineStr">
        <is>
          <t>SCA</t>
        </is>
      </c>
      <c r="D197" t="inlineStr">
        <is>
          <t>CBA</t>
        </is>
      </c>
      <c r="E197" s="5" t="n">
        <v>30.81</v>
      </c>
      <c r="F197" s="4" t="n">
        <v>114720</v>
      </c>
      <c r="G197" s="5">
        <f>E197*F197</f>
        <v/>
      </c>
      <c r="H197" s="5">
        <f>G197*0.35</f>
        <v/>
      </c>
      <c r="I197" s="5">
        <f>(G197+H197)*0.05</f>
        <v/>
      </c>
      <c r="J197" s="5">
        <f>(G197+H197+I197)*0.03</f>
        <v/>
      </c>
      <c r="K197" s="5">
        <f>G197+H197+I197+J197</f>
        <v/>
      </c>
      <c r="L197" s="5">
        <f>K197*0.08</f>
        <v/>
      </c>
      <c r="M197" s="5">
        <f>K197+L197</f>
        <v/>
      </c>
      <c r="N197" s="4" t="n">
        <v>22944</v>
      </c>
      <c r="O197" s="5">
        <f>(E197*N197)*1.35*1.05*1.03*1.08</f>
        <v/>
      </c>
      <c r="P197" s="4" t="n">
        <v>22944</v>
      </c>
      <c r="Q197" s="5">
        <f>(E197*P197)*1.35*1.05*1.03*1.08</f>
        <v/>
      </c>
      <c r="R197" s="4" t="n">
        <v>22944</v>
      </c>
      <c r="S197" s="5">
        <f>(E197*R197)*1.35*1.05*1.03*1.08</f>
        <v/>
      </c>
      <c r="T197" s="4" t="n">
        <v>22944</v>
      </c>
      <c r="U197" s="5">
        <f>(E197*T197)*1.35*1.05*1.03*1.08</f>
        <v/>
      </c>
      <c r="V197" s="4">
        <f>F197+N197+P197+R197+T197</f>
        <v/>
      </c>
      <c r="W197" s="5">
        <f>M197+O197+Q197+S197+U197</f>
        <v/>
      </c>
    </row>
    <row r="198">
      <c r="A198" t="inlineStr">
        <is>
          <t>Oceana</t>
        </is>
      </c>
      <c r="B198" t="inlineStr">
        <is>
          <t>Engineering Technician V</t>
        </is>
      </c>
      <c r="C198" t="inlineStr">
        <is>
          <t>SCA</t>
        </is>
      </c>
      <c r="D198" t="inlineStr">
        <is>
          <t>CBA</t>
        </is>
      </c>
      <c r="E198" s="5" t="n">
        <v>37.68</v>
      </c>
      <c r="F198" s="4" t="n">
        <v>66920</v>
      </c>
      <c r="G198" s="5">
        <f>E198*F198</f>
        <v/>
      </c>
      <c r="H198" s="5">
        <f>G198*0.35</f>
        <v/>
      </c>
      <c r="I198" s="5">
        <f>(G198+H198)*0.05</f>
        <v/>
      </c>
      <c r="J198" s="5">
        <f>(G198+H198+I198)*0.03</f>
        <v/>
      </c>
      <c r="K198" s="5">
        <f>G198+H198+I198+J198</f>
        <v/>
      </c>
      <c r="L198" s="5">
        <f>K198*0.08</f>
        <v/>
      </c>
      <c r="M198" s="5">
        <f>K198+L198</f>
        <v/>
      </c>
      <c r="N198" s="4" t="n">
        <v>13384</v>
      </c>
      <c r="O198" s="5">
        <f>(E198*N198)*1.35*1.05*1.03*1.08</f>
        <v/>
      </c>
      <c r="P198" s="4" t="n">
        <v>13384</v>
      </c>
      <c r="Q198" s="5">
        <f>(E198*P198)*1.35*1.05*1.03*1.08</f>
        <v/>
      </c>
      <c r="R198" s="4" t="n">
        <v>13384</v>
      </c>
      <c r="S198" s="5">
        <f>(E198*R198)*1.35*1.05*1.03*1.08</f>
        <v/>
      </c>
      <c r="T198" s="4" t="n">
        <v>13384</v>
      </c>
      <c r="U198" s="5">
        <f>(E198*T198)*1.35*1.05*1.03*1.08</f>
        <v/>
      </c>
      <c r="V198" s="4">
        <f>F198+N198+P198+R198+T198</f>
        <v/>
      </c>
      <c r="W198" s="5">
        <f>M198+O198+Q198+S198+U198</f>
        <v/>
      </c>
    </row>
    <row r="199">
      <c r="A199" t="inlineStr">
        <is>
          <t>Oceana</t>
        </is>
      </c>
      <c r="B199" t="inlineStr">
        <is>
          <t>Maintenance Coordinator</t>
        </is>
      </c>
      <c r="C199" t="inlineStr">
        <is>
          <t>Non-SCA</t>
        </is>
      </c>
      <c r="D199" t="inlineStr">
        <is>
          <t>Exempt</t>
        </is>
      </c>
      <c r="E199" s="5" t="n">
        <v>80</v>
      </c>
      <c r="F199" s="4" t="n">
        <v>9560</v>
      </c>
      <c r="G199" s="5">
        <f>E199*F199</f>
        <v/>
      </c>
      <c r="H199" s="5">
        <f>G199*0.35</f>
        <v/>
      </c>
      <c r="I199" s="5">
        <f>(G199+H199)*0.05</f>
        <v/>
      </c>
      <c r="J199" s="5">
        <f>(G199+H199+I199)*0.03</f>
        <v/>
      </c>
      <c r="K199" s="5">
        <f>G199+H199+I199+J199</f>
        <v/>
      </c>
      <c r="L199" s="5">
        <f>K199*0.08</f>
        <v/>
      </c>
      <c r="M199" s="5">
        <f>K199+L199</f>
        <v/>
      </c>
      <c r="N199" s="4" t="n">
        <v>1912</v>
      </c>
      <c r="O199" s="5">
        <f>(E199*N199)*1.35*1.05*1.03*1.08</f>
        <v/>
      </c>
      <c r="P199" s="4" t="n">
        <v>1912</v>
      </c>
      <c r="Q199" s="5">
        <f>(E199*P199)*1.35*1.05*1.03*1.08</f>
        <v/>
      </c>
      <c r="R199" s="4" t="n">
        <v>1912</v>
      </c>
      <c r="S199" s="5">
        <f>(E199*R199)*1.35*1.05*1.03*1.08</f>
        <v/>
      </c>
      <c r="T199" s="4" t="n">
        <v>1912</v>
      </c>
      <c r="U199" s="5">
        <f>(E199*T199)*1.35*1.05*1.03*1.08</f>
        <v/>
      </c>
      <c r="V199" s="4">
        <f>F199+N199+P199+R199+T199</f>
        <v/>
      </c>
      <c r="W199" s="5">
        <f>M199+O199+Q199+S199+U199</f>
        <v/>
      </c>
    </row>
    <row r="200">
      <c r="A200" t="inlineStr">
        <is>
          <t>Oceana</t>
        </is>
      </c>
      <c r="B200" t="inlineStr">
        <is>
          <t>Logistician Analyst IV</t>
        </is>
      </c>
      <c r="C200" t="inlineStr">
        <is>
          <t>Non-SCA</t>
        </is>
      </c>
      <c r="D200" t="inlineStr">
        <is>
          <t>Exempt</t>
        </is>
      </c>
      <c r="E200" s="5" t="n">
        <v>75</v>
      </c>
      <c r="F200" s="4" t="n">
        <v>28680</v>
      </c>
      <c r="G200" s="5">
        <f>E200*F200</f>
        <v/>
      </c>
      <c r="H200" s="5">
        <f>G200*0.35</f>
        <v/>
      </c>
      <c r="I200" s="5">
        <f>(G200+H200)*0.05</f>
        <v/>
      </c>
      <c r="J200" s="5">
        <f>(G200+H200+I200)*0.03</f>
        <v/>
      </c>
      <c r="K200" s="5">
        <f>G200+H200+I200+J200</f>
        <v/>
      </c>
      <c r="L200" s="5">
        <f>K200*0.08</f>
        <v/>
      </c>
      <c r="M200" s="5">
        <f>K200+L200</f>
        <v/>
      </c>
      <c r="N200" s="4" t="n">
        <v>5736</v>
      </c>
      <c r="O200" s="5">
        <f>(E200*N200)*1.35*1.05*1.03*1.08</f>
        <v/>
      </c>
      <c r="P200" s="4" t="n">
        <v>5736</v>
      </c>
      <c r="Q200" s="5">
        <f>(E200*P200)*1.35*1.05*1.03*1.08</f>
        <v/>
      </c>
      <c r="R200" s="4" t="n">
        <v>5736</v>
      </c>
      <c r="S200" s="5">
        <f>(E200*R200)*1.35*1.05*1.03*1.08</f>
        <v/>
      </c>
      <c r="T200" s="4" t="n">
        <v>5736</v>
      </c>
      <c r="U200" s="5">
        <f>(E200*T200)*1.35*1.05*1.03*1.08</f>
        <v/>
      </c>
      <c r="V200" s="4">
        <f>F200+N200+P200+R200+T200</f>
        <v/>
      </c>
      <c r="W200" s="5">
        <f>M200+O200+Q200+S200+U200</f>
        <v/>
      </c>
    </row>
    <row r="201">
      <c r="A201" t="inlineStr">
        <is>
          <t>Oceana</t>
        </is>
      </c>
      <c r="B201" t="inlineStr">
        <is>
          <t>Security Coordinator</t>
        </is>
      </c>
      <c r="C201" t="inlineStr">
        <is>
          <t>Non-SCA</t>
        </is>
      </c>
      <c r="D201" t="inlineStr">
        <is>
          <t>Exempt</t>
        </is>
      </c>
      <c r="E201" s="5" t="n">
        <v>70</v>
      </c>
      <c r="F201" s="4" t="n">
        <v>19120</v>
      </c>
      <c r="G201" s="5">
        <f>E201*F201</f>
        <v/>
      </c>
      <c r="H201" s="5">
        <f>G201*0.35</f>
        <v/>
      </c>
      <c r="I201" s="5">
        <f>(G201+H201)*0.05</f>
        <v/>
      </c>
      <c r="J201" s="5">
        <f>(G201+H201+I201)*0.03</f>
        <v/>
      </c>
      <c r="K201" s="5">
        <f>G201+H201+I201+J201</f>
        <v/>
      </c>
      <c r="L201" s="5">
        <f>K201*0.08</f>
        <v/>
      </c>
      <c r="M201" s="5">
        <f>K201+L201</f>
        <v/>
      </c>
      <c r="N201" s="4" t="n">
        <v>3824</v>
      </c>
      <c r="O201" s="5">
        <f>(E201*N201)*1.35*1.05*1.03*1.08</f>
        <v/>
      </c>
      <c r="P201" s="4" t="n">
        <v>3824</v>
      </c>
      <c r="Q201" s="5">
        <f>(E201*P201)*1.35*1.05*1.03*1.08</f>
        <v/>
      </c>
      <c r="R201" s="4" t="n">
        <v>3824</v>
      </c>
      <c r="S201" s="5">
        <f>(E201*R201)*1.35*1.05*1.03*1.08</f>
        <v/>
      </c>
      <c r="T201" s="4" t="n">
        <v>3824</v>
      </c>
      <c r="U201" s="5">
        <f>(E201*T201)*1.35*1.05*1.03*1.08</f>
        <v/>
      </c>
      <c r="V201" s="4">
        <f>F201+N201+P201+R201+T201</f>
        <v/>
      </c>
      <c r="W201" s="5">
        <f>M201+O201+Q201+S201+U201</f>
        <v/>
      </c>
    </row>
    <row r="202">
      <c r="A202" t="inlineStr">
        <is>
          <t>Oceana</t>
        </is>
      </c>
      <c r="B202" t="inlineStr">
        <is>
          <t>Quality Assurance/Safety Evaluator</t>
        </is>
      </c>
      <c r="C202" t="inlineStr">
        <is>
          <t>Non-SCA</t>
        </is>
      </c>
      <c r="D202" t="inlineStr">
        <is>
          <t>Exempt</t>
        </is>
      </c>
      <c r="E202" s="5" t="n">
        <v>75</v>
      </c>
      <c r="F202" s="4" t="n">
        <v>19120</v>
      </c>
      <c r="G202" s="5">
        <f>E202*F202</f>
        <v/>
      </c>
      <c r="H202" s="5">
        <f>G202*0.35</f>
        <v/>
      </c>
      <c r="I202" s="5">
        <f>(G202+H202)*0.05</f>
        <v/>
      </c>
      <c r="J202" s="5">
        <f>(G202+H202+I202)*0.03</f>
        <v/>
      </c>
      <c r="K202" s="5">
        <f>G202+H202+I202+J202</f>
        <v/>
      </c>
      <c r="L202" s="5">
        <f>K202*0.08</f>
        <v/>
      </c>
      <c r="M202" s="5">
        <f>K202+L202</f>
        <v/>
      </c>
      <c r="N202" s="4" t="n">
        <v>3824</v>
      </c>
      <c r="O202" s="5">
        <f>(E202*N202)*1.35*1.05*1.03*1.08</f>
        <v/>
      </c>
      <c r="P202" s="4" t="n">
        <v>3824</v>
      </c>
      <c r="Q202" s="5">
        <f>(E202*P202)*1.35*1.05*1.03*1.08</f>
        <v/>
      </c>
      <c r="R202" s="4" t="n">
        <v>3824</v>
      </c>
      <c r="S202" s="5">
        <f>(E202*R202)*1.35*1.05*1.03*1.08</f>
        <v/>
      </c>
      <c r="T202" s="4" t="n">
        <v>3824</v>
      </c>
      <c r="U202" s="5">
        <f>(E202*T202)*1.35*1.05*1.03*1.08</f>
        <v/>
      </c>
      <c r="V202" s="4">
        <f>F202+N202+P202+R202+T202</f>
        <v/>
      </c>
      <c r="W202" s="5">
        <f>M202+O202+Q202+S202+U202</f>
        <v/>
      </c>
    </row>
    <row r="203">
      <c r="A203" t="inlineStr">
        <is>
          <t>Pinecastle</t>
        </is>
      </c>
      <c r="B203" t="inlineStr">
        <is>
          <t>Site Manager</t>
        </is>
      </c>
      <c r="C203" t="inlineStr">
        <is>
          <t>Non-SCA</t>
        </is>
      </c>
      <c r="D203" t="inlineStr">
        <is>
          <t>Exempt</t>
        </is>
      </c>
      <c r="E203" s="5" t="n">
        <v>95</v>
      </c>
      <c r="F203" s="4" t="n">
        <v>9560</v>
      </c>
      <c r="G203" s="5">
        <f>E203*F203</f>
        <v/>
      </c>
      <c r="H203" s="5">
        <f>G203*0.35</f>
        <v/>
      </c>
      <c r="I203" s="5">
        <f>(G203+H203)*0.05</f>
        <v/>
      </c>
      <c r="J203" s="5">
        <f>(G203+H203+I203)*0.03</f>
        <v/>
      </c>
      <c r="K203" s="5">
        <f>G203+H203+I203+J203</f>
        <v/>
      </c>
      <c r="L203" s="5">
        <f>K203*0.08</f>
        <v/>
      </c>
      <c r="M203" s="5">
        <f>K203+L203</f>
        <v/>
      </c>
      <c r="N203" s="4" t="n">
        <v>1912</v>
      </c>
      <c r="O203" s="5">
        <f>(E203*N203)*1.35*1.05*1.03*1.08</f>
        <v/>
      </c>
      <c r="P203" s="4" t="n">
        <v>1912</v>
      </c>
      <c r="Q203" s="5">
        <f>(E203*P203)*1.35*1.05*1.03*1.08</f>
        <v/>
      </c>
      <c r="R203" s="4" t="n">
        <v>1912</v>
      </c>
      <c r="S203" s="5">
        <f>(E203*R203)*1.35*1.05*1.03*1.08</f>
        <v/>
      </c>
      <c r="T203" s="4" t="n">
        <v>1912</v>
      </c>
      <c r="U203" s="5">
        <f>(E203*T203)*1.35*1.05*1.03*1.08</f>
        <v/>
      </c>
      <c r="V203" s="4">
        <f>F203+N203+P203+R203+T203</f>
        <v/>
      </c>
      <c r="W203" s="5">
        <f>M203+O203+Q203+S203+U203</f>
        <v/>
      </c>
    </row>
    <row r="204">
      <c r="A204" t="inlineStr">
        <is>
          <t>Pinecastle</t>
        </is>
      </c>
      <c r="B204" t="inlineStr">
        <is>
          <t>Technical Lead</t>
        </is>
      </c>
      <c r="C204" t="inlineStr">
        <is>
          <t>Non-SCA</t>
        </is>
      </c>
      <c r="D204" t="inlineStr">
        <is>
          <t>Exempt</t>
        </is>
      </c>
      <c r="E204" s="5" t="n">
        <v>80</v>
      </c>
      <c r="F204" s="4" t="n">
        <v>9560</v>
      </c>
      <c r="G204" s="5">
        <f>E204*F204</f>
        <v/>
      </c>
      <c r="H204" s="5">
        <f>G204*0.35</f>
        <v/>
      </c>
      <c r="I204" s="5">
        <f>(G204+H204)*0.05</f>
        <v/>
      </c>
      <c r="J204" s="5">
        <f>(G204+H204+I204)*0.03</f>
        <v/>
      </c>
      <c r="K204" s="5">
        <f>G204+H204+I204+J204</f>
        <v/>
      </c>
      <c r="L204" s="5">
        <f>K204*0.08</f>
        <v/>
      </c>
      <c r="M204" s="5">
        <f>K204+L204</f>
        <v/>
      </c>
      <c r="N204" s="4" t="n">
        <v>1912</v>
      </c>
      <c r="O204" s="5">
        <f>(E204*N204)*1.35*1.05*1.03*1.08</f>
        <v/>
      </c>
      <c r="P204" s="4" t="n">
        <v>1912</v>
      </c>
      <c r="Q204" s="5">
        <f>(E204*P204)*1.35*1.05*1.03*1.08</f>
        <v/>
      </c>
      <c r="R204" s="4" t="n">
        <v>1912</v>
      </c>
      <c r="S204" s="5">
        <f>(E204*R204)*1.35*1.05*1.03*1.08</f>
        <v/>
      </c>
      <c r="T204" s="4" t="n">
        <v>1912</v>
      </c>
      <c r="U204" s="5">
        <f>(E204*T204)*1.35*1.05*1.03*1.08</f>
        <v/>
      </c>
      <c r="V204" s="4">
        <f>F204+N204+P204+R204+T204</f>
        <v/>
      </c>
      <c r="W204" s="5">
        <f>M204+O204+Q204+S204+U204</f>
        <v/>
      </c>
    </row>
    <row r="205">
      <c r="A205" t="inlineStr">
        <is>
          <t>Pinecastle</t>
        </is>
      </c>
      <c r="B205" t="inlineStr">
        <is>
          <t>Mission Coordinator, Senior</t>
        </is>
      </c>
      <c r="C205" t="inlineStr">
        <is>
          <t>Non-SCA</t>
        </is>
      </c>
      <c r="D205" t="inlineStr">
        <is>
          <t>Exempt</t>
        </is>
      </c>
      <c r="E205" s="5" t="n">
        <v>95</v>
      </c>
      <c r="F205" s="4" t="n">
        <v>9560</v>
      </c>
      <c r="G205" s="5">
        <f>E205*F205</f>
        <v/>
      </c>
      <c r="H205" s="5">
        <f>G205*0.35</f>
        <v/>
      </c>
      <c r="I205" s="5">
        <f>(G205+H205)*0.05</f>
        <v/>
      </c>
      <c r="J205" s="5">
        <f>(G205+H205+I205)*0.03</f>
        <v/>
      </c>
      <c r="K205" s="5">
        <f>G205+H205+I205+J205</f>
        <v/>
      </c>
      <c r="L205" s="5">
        <f>K205*0.08</f>
        <v/>
      </c>
      <c r="M205" s="5">
        <f>K205+L205</f>
        <v/>
      </c>
      <c r="N205" s="4" t="n">
        <v>1912</v>
      </c>
      <c r="O205" s="5">
        <f>(E205*N205)*1.35*1.05*1.03*1.08</f>
        <v/>
      </c>
      <c r="P205" s="4" t="n">
        <v>1912</v>
      </c>
      <c r="Q205" s="5">
        <f>(E205*P205)*1.35*1.05*1.03*1.08</f>
        <v/>
      </c>
      <c r="R205" s="4" t="n">
        <v>1912</v>
      </c>
      <c r="S205" s="5">
        <f>(E205*R205)*1.35*1.05*1.03*1.08</f>
        <v/>
      </c>
      <c r="T205" s="4" t="n">
        <v>1912</v>
      </c>
      <c r="U205" s="5">
        <f>(E205*T205)*1.35*1.05*1.03*1.08</f>
        <v/>
      </c>
      <c r="V205" s="4">
        <f>F205+N205+P205+R205+T205</f>
        <v/>
      </c>
      <c r="W205" s="5">
        <f>M205+O205+Q205+S205+U205</f>
        <v/>
      </c>
    </row>
    <row r="206">
      <c r="A206" t="inlineStr">
        <is>
          <t>Pinecastle</t>
        </is>
      </c>
      <c r="B206" t="inlineStr">
        <is>
          <t>Technical Support Specialist</t>
        </is>
      </c>
      <c r="C206" t="inlineStr">
        <is>
          <t>Non-SCA</t>
        </is>
      </c>
      <c r="D206" t="inlineStr">
        <is>
          <t>Exempt</t>
        </is>
      </c>
      <c r="E206" s="5" t="n">
        <v>80</v>
      </c>
      <c r="F206" s="4" t="n">
        <v>47800</v>
      </c>
      <c r="G206" s="5">
        <f>E206*F206</f>
        <v/>
      </c>
      <c r="H206" s="5">
        <f>G206*0.35</f>
        <v/>
      </c>
      <c r="I206" s="5">
        <f>(G206+H206)*0.05</f>
        <v/>
      </c>
      <c r="J206" s="5">
        <f>(G206+H206+I206)*0.03</f>
        <v/>
      </c>
      <c r="K206" s="5">
        <f>G206+H206+I206+J206</f>
        <v/>
      </c>
      <c r="L206" s="5">
        <f>K206*0.08</f>
        <v/>
      </c>
      <c r="M206" s="5">
        <f>K206+L206</f>
        <v/>
      </c>
      <c r="N206" s="4" t="n">
        <v>9560</v>
      </c>
      <c r="O206" s="5">
        <f>(E206*N206)*1.35*1.05*1.03*1.08</f>
        <v/>
      </c>
      <c r="P206" s="4" t="n">
        <v>9560</v>
      </c>
      <c r="Q206" s="5">
        <f>(E206*P206)*1.35*1.05*1.03*1.08</f>
        <v/>
      </c>
      <c r="R206" s="4" t="n">
        <v>9560</v>
      </c>
      <c r="S206" s="5">
        <f>(E206*R206)*1.35*1.05*1.03*1.08</f>
        <v/>
      </c>
      <c r="T206" s="4" t="n">
        <v>9560</v>
      </c>
      <c r="U206" s="5">
        <f>(E206*T206)*1.35*1.05*1.03*1.08</f>
        <v/>
      </c>
      <c r="V206" s="4">
        <f>F206+N206+P206+R206+T206</f>
        <v/>
      </c>
      <c r="W206" s="5">
        <f>M206+O206+Q206+S206+U206</f>
        <v/>
      </c>
    </row>
    <row r="207">
      <c r="A207" t="inlineStr">
        <is>
          <t>Pinecastle</t>
        </is>
      </c>
      <c r="B207" t="inlineStr">
        <is>
          <t>Electronics Technician III</t>
        </is>
      </c>
      <c r="C207" t="inlineStr">
        <is>
          <t>SCA</t>
        </is>
      </c>
      <c r="D207" t="inlineStr">
        <is>
          <t>SCLS</t>
        </is>
      </c>
      <c r="E207" s="5" t="n">
        <v>29.8</v>
      </c>
      <c r="F207" s="4" t="n">
        <v>66920</v>
      </c>
      <c r="G207" s="5">
        <f>E207*F207</f>
        <v/>
      </c>
      <c r="H207" s="5">
        <f>G207*0.35</f>
        <v/>
      </c>
      <c r="I207" s="5">
        <f>(G207+H207)*0.05</f>
        <v/>
      </c>
      <c r="J207" s="5">
        <f>(G207+H207+I207)*0.03</f>
        <v/>
      </c>
      <c r="K207" s="5">
        <f>G207+H207+I207+J207</f>
        <v/>
      </c>
      <c r="L207" s="5">
        <f>K207*0.08</f>
        <v/>
      </c>
      <c r="M207" s="5">
        <f>K207+L207</f>
        <v/>
      </c>
      <c r="N207" s="4" t="n">
        <v>13384</v>
      </c>
      <c r="O207" s="5">
        <f>(E207*N207)*1.35*1.05*1.03*1.08</f>
        <v/>
      </c>
      <c r="P207" s="4" t="n">
        <v>13384</v>
      </c>
      <c r="Q207" s="5">
        <f>(E207*P207)*1.35*1.05*1.03*1.08</f>
        <v/>
      </c>
      <c r="R207" s="4" t="n">
        <v>13384</v>
      </c>
      <c r="S207" s="5">
        <f>(E207*R207)*1.35*1.05*1.03*1.08</f>
        <v/>
      </c>
      <c r="T207" s="4" t="n">
        <v>13384</v>
      </c>
      <c r="U207" s="5">
        <f>(E207*T207)*1.35*1.05*1.03*1.08</f>
        <v/>
      </c>
      <c r="V207" s="4">
        <f>F207+N207+P207+R207+T207</f>
        <v/>
      </c>
      <c r="W207" s="5">
        <f>M207+O207+Q207+S207+U207</f>
        <v/>
      </c>
    </row>
    <row r="208">
      <c r="A208" t="inlineStr">
        <is>
          <t>Pinecastle</t>
        </is>
      </c>
      <c r="B208" t="inlineStr">
        <is>
          <t>Logistician Analyst IV</t>
        </is>
      </c>
      <c r="C208" t="inlineStr">
        <is>
          <t>Non-SCA</t>
        </is>
      </c>
      <c r="D208" t="inlineStr">
        <is>
          <t>Exempt</t>
        </is>
      </c>
      <c r="E208" s="5" t="n">
        <v>75</v>
      </c>
      <c r="F208" s="4" t="n">
        <v>9560</v>
      </c>
      <c r="G208" s="5">
        <f>E208*F208</f>
        <v/>
      </c>
      <c r="H208" s="5">
        <f>G208*0.35</f>
        <v/>
      </c>
      <c r="I208" s="5">
        <f>(G208+H208)*0.05</f>
        <v/>
      </c>
      <c r="J208" s="5">
        <f>(G208+H208+I208)*0.03</f>
        <v/>
      </c>
      <c r="K208" s="5">
        <f>G208+H208+I208+J208</f>
        <v/>
      </c>
      <c r="L208" s="5">
        <f>K208*0.08</f>
        <v/>
      </c>
      <c r="M208" s="5">
        <f>K208+L208</f>
        <v/>
      </c>
      <c r="N208" s="4" t="n">
        <v>1912</v>
      </c>
      <c r="O208" s="5">
        <f>(E208*N208)*1.35*1.05*1.03*1.08</f>
        <v/>
      </c>
      <c r="P208" s="4" t="n">
        <v>1912</v>
      </c>
      <c r="Q208" s="5">
        <f>(E208*P208)*1.35*1.05*1.03*1.08</f>
        <v/>
      </c>
      <c r="R208" s="4" t="n">
        <v>1912</v>
      </c>
      <c r="S208" s="5">
        <f>(E208*R208)*1.35*1.05*1.03*1.08</f>
        <v/>
      </c>
      <c r="T208" s="4" t="n">
        <v>1912</v>
      </c>
      <c r="U208" s="5">
        <f>(E208*T208)*1.35*1.05*1.03*1.08</f>
        <v/>
      </c>
      <c r="V208" s="4">
        <f>F208+N208+P208+R208+T208</f>
        <v/>
      </c>
      <c r="W208" s="5">
        <f>M208+O208+Q208+S208+U208</f>
        <v/>
      </c>
    </row>
    <row r="209">
      <c r="A209" t="inlineStr">
        <is>
          <t>Pinecastle</t>
        </is>
      </c>
      <c r="B209" t="inlineStr">
        <is>
          <t>Quality Assurance/Safety Evaluator</t>
        </is>
      </c>
      <c r="C209" t="inlineStr">
        <is>
          <t>Non-SCA</t>
        </is>
      </c>
      <c r="D209" t="inlineStr">
        <is>
          <t>Exempt</t>
        </is>
      </c>
      <c r="E209" s="5" t="n">
        <v>75</v>
      </c>
      <c r="F209" s="4" t="n">
        <v>9560</v>
      </c>
      <c r="G209" s="5">
        <f>E209*F209</f>
        <v/>
      </c>
      <c r="H209" s="5">
        <f>G209*0.35</f>
        <v/>
      </c>
      <c r="I209" s="5">
        <f>(G209+H209)*0.05</f>
        <v/>
      </c>
      <c r="J209" s="5">
        <f>(G209+H209+I209)*0.03</f>
        <v/>
      </c>
      <c r="K209" s="5">
        <f>G209+H209+I209+J209</f>
        <v/>
      </c>
      <c r="L209" s="5">
        <f>K209*0.08</f>
        <v/>
      </c>
      <c r="M209" s="5">
        <f>K209+L209</f>
        <v/>
      </c>
      <c r="N209" s="4" t="n">
        <v>1912</v>
      </c>
      <c r="O209" s="5">
        <f>(E209*N209)*1.35*1.05*1.03*1.08</f>
        <v/>
      </c>
      <c r="P209" s="4" t="n">
        <v>1912</v>
      </c>
      <c r="Q209" s="5">
        <f>(E209*P209)*1.35*1.05*1.03*1.08</f>
        <v/>
      </c>
      <c r="R209" s="4" t="n">
        <v>1912</v>
      </c>
      <c r="S209" s="5">
        <f>(E209*R209)*1.35*1.05*1.03*1.08</f>
        <v/>
      </c>
      <c r="T209" s="4" t="n">
        <v>1912</v>
      </c>
      <c r="U209" s="5">
        <f>(E209*T209)*1.35*1.05*1.03*1.08</f>
        <v/>
      </c>
      <c r="V209" s="4">
        <f>F209+N209+P209+R209+T209</f>
        <v/>
      </c>
      <c r="W209" s="5">
        <f>M209+O209+Q209+S209+U209</f>
        <v/>
      </c>
    </row>
    <row r="210">
      <c r="A210" t="inlineStr">
        <is>
          <t>Pinecastle</t>
        </is>
      </c>
      <c r="B210" t="inlineStr">
        <is>
          <t>Quality Control</t>
        </is>
      </c>
      <c r="C210" t="inlineStr">
        <is>
          <t>Non-SCA</t>
        </is>
      </c>
      <c r="D210" t="inlineStr">
        <is>
          <t>Exempt</t>
        </is>
      </c>
      <c r="E210" s="5" t="n">
        <v>80</v>
      </c>
      <c r="F210" s="4" t="n">
        <v>9560</v>
      </c>
      <c r="G210" s="5">
        <f>E210*F210</f>
        <v/>
      </c>
      <c r="H210" s="5">
        <f>G210*0.35</f>
        <v/>
      </c>
      <c r="I210" s="5">
        <f>(G210+H210)*0.05</f>
        <v/>
      </c>
      <c r="J210" s="5">
        <f>(G210+H210+I210)*0.03</f>
        <v/>
      </c>
      <c r="K210" s="5">
        <f>G210+H210+I210+J210</f>
        <v/>
      </c>
      <c r="L210" s="5">
        <f>K210*0.08</f>
        <v/>
      </c>
      <c r="M210" s="5">
        <f>K210+L210</f>
        <v/>
      </c>
      <c r="N210" s="4" t="n">
        <v>1912</v>
      </c>
      <c r="O210" s="5">
        <f>(E210*N210)*1.35*1.05*1.03*1.08</f>
        <v/>
      </c>
      <c r="P210" s="4" t="n">
        <v>1912</v>
      </c>
      <c r="Q210" s="5">
        <f>(E210*P210)*1.35*1.05*1.03*1.08</f>
        <v/>
      </c>
      <c r="R210" s="4" t="n">
        <v>1912</v>
      </c>
      <c r="S210" s="5">
        <f>(E210*R210)*1.35*1.05*1.03*1.08</f>
        <v/>
      </c>
      <c r="T210" s="4" t="n">
        <v>1912</v>
      </c>
      <c r="U210" s="5">
        <f>(E210*T210)*1.35*1.05*1.03*1.08</f>
        <v/>
      </c>
      <c r="V210" s="4">
        <f>F210+N210+P210+R210+T210</f>
        <v/>
      </c>
      <c r="W210" s="5">
        <f>M210+O210+Q210+S210+U210</f>
        <v/>
      </c>
    </row>
    <row r="211">
      <c r="A211" t="inlineStr">
        <is>
          <t>PNW</t>
        </is>
      </c>
      <c r="B211" t="inlineStr">
        <is>
          <t>Site Lead</t>
        </is>
      </c>
      <c r="C211" t="inlineStr">
        <is>
          <t>Non-SCA</t>
        </is>
      </c>
      <c r="D211" t="inlineStr">
        <is>
          <t>Exempt</t>
        </is>
      </c>
      <c r="E211" s="5" t="n">
        <v>80</v>
      </c>
      <c r="F211" s="4" t="n">
        <v>9560</v>
      </c>
      <c r="G211" s="5">
        <f>E211*F211</f>
        <v/>
      </c>
      <c r="H211" s="5">
        <f>G211*0.35</f>
        <v/>
      </c>
      <c r="I211" s="5">
        <f>(G211+H211)*0.05</f>
        <v/>
      </c>
      <c r="J211" s="5">
        <f>(G211+H211+I211)*0.03</f>
        <v/>
      </c>
      <c r="K211" s="5">
        <f>G211+H211+I211+J211</f>
        <v/>
      </c>
      <c r="L211" s="5">
        <f>K211*0.08</f>
        <v/>
      </c>
      <c r="M211" s="5">
        <f>K211+L211</f>
        <v/>
      </c>
      <c r="N211" s="4" t="n">
        <v>1912</v>
      </c>
      <c r="O211" s="5">
        <f>(E211*N211)*1.35*1.05*1.03*1.08</f>
        <v/>
      </c>
      <c r="P211" s="4" t="n">
        <v>1912</v>
      </c>
      <c r="Q211" s="5">
        <f>(E211*P211)*1.35*1.05*1.03*1.08</f>
        <v/>
      </c>
      <c r="R211" s="4" t="n">
        <v>1912</v>
      </c>
      <c r="S211" s="5">
        <f>(E211*R211)*1.35*1.05*1.03*1.08</f>
        <v/>
      </c>
      <c r="T211" s="4" t="n">
        <v>1912</v>
      </c>
      <c r="U211" s="5">
        <f>(E211*T211)*1.35*1.05*1.03*1.08</f>
        <v/>
      </c>
      <c r="V211" s="4">
        <f>F211+N211+P211+R211+T211</f>
        <v/>
      </c>
      <c r="W211" s="5">
        <f>M211+O211+Q211+S211+U211</f>
        <v/>
      </c>
    </row>
    <row r="212">
      <c r="A212" t="inlineStr">
        <is>
          <t>PNW</t>
        </is>
      </c>
      <c r="B212" t="inlineStr">
        <is>
          <t>Mission Coordinator</t>
        </is>
      </c>
      <c r="C212" t="inlineStr">
        <is>
          <t>Non-SCA</t>
        </is>
      </c>
      <c r="D212" t="inlineStr">
        <is>
          <t>Exempt</t>
        </is>
      </c>
      <c r="E212" s="5" t="n">
        <v>85</v>
      </c>
      <c r="F212" s="4" t="n">
        <v>38240</v>
      </c>
      <c r="G212" s="5">
        <f>E212*F212</f>
        <v/>
      </c>
      <c r="H212" s="5">
        <f>G212*0.35</f>
        <v/>
      </c>
      <c r="I212" s="5">
        <f>(G212+H212)*0.05</f>
        <v/>
      </c>
      <c r="J212" s="5">
        <f>(G212+H212+I212)*0.03</f>
        <v/>
      </c>
      <c r="K212" s="5">
        <f>G212+H212+I212+J212</f>
        <v/>
      </c>
      <c r="L212" s="5">
        <f>K212*0.08</f>
        <v/>
      </c>
      <c r="M212" s="5">
        <f>K212+L212</f>
        <v/>
      </c>
      <c r="N212" s="4" t="n">
        <v>7648</v>
      </c>
      <c r="O212" s="5">
        <f>(E212*N212)*1.35*1.05*1.03*1.08</f>
        <v/>
      </c>
      <c r="P212" s="4" t="n">
        <v>7648</v>
      </c>
      <c r="Q212" s="5">
        <f>(E212*P212)*1.35*1.05*1.03*1.08</f>
        <v/>
      </c>
      <c r="R212" s="4" t="n">
        <v>7648</v>
      </c>
      <c r="S212" s="5">
        <f>(E212*R212)*1.35*1.05*1.03*1.08</f>
        <v/>
      </c>
      <c r="T212" s="4" t="n">
        <v>7648</v>
      </c>
      <c r="U212" s="5">
        <f>(E212*T212)*1.35*1.05*1.03*1.08</f>
        <v/>
      </c>
      <c r="V212" s="4">
        <f>F212+N212+P212+R212+T212</f>
        <v/>
      </c>
      <c r="W212" s="5">
        <f>M212+O212+Q212+S212+U212</f>
        <v/>
      </c>
    </row>
    <row r="213">
      <c r="A213" t="inlineStr">
        <is>
          <t>PNW</t>
        </is>
      </c>
      <c r="B213" t="inlineStr">
        <is>
          <t>Mission Coordinator, Senior</t>
        </is>
      </c>
      <c r="C213" t="inlineStr">
        <is>
          <t>Non-SCA</t>
        </is>
      </c>
      <c r="D213" t="inlineStr">
        <is>
          <t>Exempt</t>
        </is>
      </c>
      <c r="E213" s="5" t="n">
        <v>95</v>
      </c>
      <c r="F213" s="4" t="n">
        <v>19120</v>
      </c>
      <c r="G213" s="5">
        <f>E213*F213</f>
        <v/>
      </c>
      <c r="H213" s="5">
        <f>G213*0.35</f>
        <v/>
      </c>
      <c r="I213" s="5">
        <f>(G213+H213)*0.05</f>
        <v/>
      </c>
      <c r="J213" s="5">
        <f>(G213+H213+I213)*0.03</f>
        <v/>
      </c>
      <c r="K213" s="5">
        <f>G213+H213+I213+J213</f>
        <v/>
      </c>
      <c r="L213" s="5">
        <f>K213*0.08</f>
        <v/>
      </c>
      <c r="M213" s="5">
        <f>K213+L213</f>
        <v/>
      </c>
      <c r="N213" s="4" t="n">
        <v>3824</v>
      </c>
      <c r="O213" s="5">
        <f>(E213*N213)*1.35*1.05*1.03*1.08</f>
        <v/>
      </c>
      <c r="P213" s="4" t="n">
        <v>3824</v>
      </c>
      <c r="Q213" s="5">
        <f>(E213*P213)*1.35*1.05*1.03*1.08</f>
        <v/>
      </c>
      <c r="R213" s="4" t="n">
        <v>3824</v>
      </c>
      <c r="S213" s="5">
        <f>(E213*R213)*1.35*1.05*1.03*1.08</f>
        <v/>
      </c>
      <c r="T213" s="4" t="n">
        <v>3824</v>
      </c>
      <c r="U213" s="5">
        <f>(E213*T213)*1.35*1.05*1.03*1.08</f>
        <v/>
      </c>
      <c r="V213" s="4">
        <f>F213+N213+P213+R213+T213</f>
        <v/>
      </c>
      <c r="W213" s="5">
        <f>M213+O213+Q213+S213+U213</f>
        <v/>
      </c>
    </row>
    <row r="214">
      <c r="A214" t="inlineStr">
        <is>
          <t>PNW</t>
        </is>
      </c>
      <c r="B214" t="inlineStr">
        <is>
          <t>Technical Support Specialist</t>
        </is>
      </c>
      <c r="C214" t="inlineStr">
        <is>
          <t>Non-SCA</t>
        </is>
      </c>
      <c r="D214" t="inlineStr">
        <is>
          <t>Exempt</t>
        </is>
      </c>
      <c r="E214" s="5" t="n">
        <v>80</v>
      </c>
      <c r="F214" s="4" t="n">
        <v>28680</v>
      </c>
      <c r="G214" s="5">
        <f>E214*F214</f>
        <v/>
      </c>
      <c r="H214" s="5">
        <f>G214*0.35</f>
        <v/>
      </c>
      <c r="I214" s="5">
        <f>(G214+H214)*0.05</f>
        <v/>
      </c>
      <c r="J214" s="5">
        <f>(G214+H214+I214)*0.03</f>
        <v/>
      </c>
      <c r="K214" s="5">
        <f>G214+H214+I214+J214</f>
        <v/>
      </c>
      <c r="L214" s="5">
        <f>K214*0.08</f>
        <v/>
      </c>
      <c r="M214" s="5">
        <f>K214+L214</f>
        <v/>
      </c>
      <c r="N214" s="4" t="n">
        <v>5736</v>
      </c>
      <c r="O214" s="5">
        <f>(E214*N214)*1.35*1.05*1.03*1.08</f>
        <v/>
      </c>
      <c r="P214" s="4" t="n">
        <v>5736</v>
      </c>
      <c r="Q214" s="5">
        <f>(E214*P214)*1.35*1.05*1.03*1.08</f>
        <v/>
      </c>
      <c r="R214" s="4" t="n">
        <v>5736</v>
      </c>
      <c r="S214" s="5">
        <f>(E214*R214)*1.35*1.05*1.03*1.08</f>
        <v/>
      </c>
      <c r="T214" s="4" t="n">
        <v>5736</v>
      </c>
      <c r="U214" s="5">
        <f>(E214*T214)*1.35*1.05*1.03*1.08</f>
        <v/>
      </c>
      <c r="V214" s="4">
        <f>F214+N214+P214+R214+T214</f>
        <v/>
      </c>
      <c r="W214" s="5">
        <f>M214+O214+Q214+S214+U214</f>
        <v/>
      </c>
    </row>
    <row r="215">
      <c r="A215" t="inlineStr">
        <is>
          <t>PNW</t>
        </is>
      </c>
      <c r="B215" t="inlineStr">
        <is>
          <t>Tactical Data Link Analyst</t>
        </is>
      </c>
      <c r="C215" t="inlineStr">
        <is>
          <t>Non-SCA</t>
        </is>
      </c>
      <c r="D215" t="inlineStr">
        <is>
          <t>Exempt</t>
        </is>
      </c>
      <c r="E215" s="5" t="n">
        <v>75</v>
      </c>
      <c r="F215" s="4" t="n">
        <v>19120</v>
      </c>
      <c r="G215" s="5">
        <f>E215*F215</f>
        <v/>
      </c>
      <c r="H215" s="5">
        <f>G215*0.35</f>
        <v/>
      </c>
      <c r="I215" s="5">
        <f>(G215+H215)*0.05</f>
        <v/>
      </c>
      <c r="J215" s="5">
        <f>(G215+H215+I215)*0.03</f>
        <v/>
      </c>
      <c r="K215" s="5">
        <f>G215+H215+I215+J215</f>
        <v/>
      </c>
      <c r="L215" s="5">
        <f>K215*0.08</f>
        <v/>
      </c>
      <c r="M215" s="5">
        <f>K215+L215</f>
        <v/>
      </c>
      <c r="N215" s="4" t="n">
        <v>3824</v>
      </c>
      <c r="O215" s="5">
        <f>(E215*N215)*1.35*1.05*1.03*1.08</f>
        <v/>
      </c>
      <c r="P215" s="4" t="n">
        <v>3824</v>
      </c>
      <c r="Q215" s="5">
        <f>(E215*P215)*1.35*1.05*1.03*1.08</f>
        <v/>
      </c>
      <c r="R215" s="4" t="n">
        <v>3824</v>
      </c>
      <c r="S215" s="5">
        <f>(E215*R215)*1.35*1.05*1.03*1.08</f>
        <v/>
      </c>
      <c r="T215" s="4" t="n">
        <v>3824</v>
      </c>
      <c r="U215" s="5">
        <f>(E215*T215)*1.35*1.05*1.03*1.08</f>
        <v/>
      </c>
      <c r="V215" s="4">
        <f>F215+N215+P215+R215+T215</f>
        <v/>
      </c>
      <c r="W215" s="5">
        <f>M215+O215+Q215+S215+U215</f>
        <v/>
      </c>
    </row>
    <row r="216">
      <c r="A216" t="inlineStr">
        <is>
          <t>PNW</t>
        </is>
      </c>
      <c r="B216" t="inlineStr">
        <is>
          <t>Engineering Technician IV</t>
        </is>
      </c>
      <c r="C216" t="inlineStr">
        <is>
          <t>SCA</t>
        </is>
      </c>
      <c r="D216" t="inlineStr">
        <is>
          <t>SCLS</t>
        </is>
      </c>
      <c r="E216" s="5" t="n">
        <v>31.22</v>
      </c>
      <c r="F216" s="4" t="n">
        <v>38240</v>
      </c>
      <c r="G216" s="5">
        <f>E216*F216</f>
        <v/>
      </c>
      <c r="H216" s="5">
        <f>G216*0.35</f>
        <v/>
      </c>
      <c r="I216" s="5">
        <f>(G216+H216)*0.05</f>
        <v/>
      </c>
      <c r="J216" s="5">
        <f>(G216+H216+I216)*0.03</f>
        <v/>
      </c>
      <c r="K216" s="5">
        <f>G216+H216+I216+J216</f>
        <v/>
      </c>
      <c r="L216" s="5">
        <f>K216*0.08</f>
        <v/>
      </c>
      <c r="M216" s="5">
        <f>K216+L216</f>
        <v/>
      </c>
      <c r="N216" s="4" t="n">
        <v>7648</v>
      </c>
      <c r="O216" s="5">
        <f>(E216*N216)*1.35*1.05*1.03*1.08</f>
        <v/>
      </c>
      <c r="P216" s="4" t="n">
        <v>7648</v>
      </c>
      <c r="Q216" s="5">
        <f>(E216*P216)*1.35*1.05*1.03*1.08</f>
        <v/>
      </c>
      <c r="R216" s="4" t="n">
        <v>7648</v>
      </c>
      <c r="S216" s="5">
        <f>(E216*R216)*1.35*1.05*1.03*1.08</f>
        <v/>
      </c>
      <c r="T216" s="4" t="n">
        <v>7648</v>
      </c>
      <c r="U216" s="5">
        <f>(E216*T216)*1.35*1.05*1.03*1.08</f>
        <v/>
      </c>
      <c r="V216" s="4">
        <f>F216+N216+P216+R216+T216</f>
        <v/>
      </c>
      <c r="W216" s="5">
        <f>M216+O216+Q216+S216+U216</f>
        <v/>
      </c>
    </row>
    <row r="217">
      <c r="A217" t="inlineStr">
        <is>
          <t>PNW</t>
        </is>
      </c>
      <c r="B217" t="inlineStr">
        <is>
          <t>Electronics Technician I</t>
        </is>
      </c>
      <c r="C217" t="inlineStr">
        <is>
          <t>SCA</t>
        </is>
      </c>
      <c r="D217" t="inlineStr">
        <is>
          <t>SCLS</t>
        </is>
      </c>
      <c r="E217" s="5" t="n">
        <v>35.77</v>
      </c>
      <c r="F217" s="4" t="n">
        <v>57360</v>
      </c>
      <c r="G217" s="5">
        <f>E217*F217</f>
        <v/>
      </c>
      <c r="H217" s="5">
        <f>G217*0.35</f>
        <v/>
      </c>
      <c r="I217" s="5">
        <f>(G217+H217)*0.05</f>
        <v/>
      </c>
      <c r="J217" s="5">
        <f>(G217+H217+I217)*0.03</f>
        <v/>
      </c>
      <c r="K217" s="5">
        <f>G217+H217+I217+J217</f>
        <v/>
      </c>
      <c r="L217" s="5">
        <f>K217*0.08</f>
        <v/>
      </c>
      <c r="M217" s="5">
        <f>K217+L217</f>
        <v/>
      </c>
      <c r="N217" s="4" t="n">
        <v>11472</v>
      </c>
      <c r="O217" s="5">
        <f>(E217*N217)*1.35*1.05*1.03*1.08</f>
        <v/>
      </c>
      <c r="P217" s="4" t="n">
        <v>11472</v>
      </c>
      <c r="Q217" s="5">
        <f>(E217*P217)*1.35*1.05*1.03*1.08</f>
        <v/>
      </c>
      <c r="R217" s="4" t="n">
        <v>11472</v>
      </c>
      <c r="S217" s="5">
        <f>(E217*R217)*1.35*1.05*1.03*1.08</f>
        <v/>
      </c>
      <c r="T217" s="4" t="n">
        <v>11472</v>
      </c>
      <c r="U217" s="5">
        <f>(E217*T217)*1.35*1.05*1.03*1.08</f>
        <v/>
      </c>
      <c r="V217" s="4">
        <f>F217+N217+P217+R217+T217</f>
        <v/>
      </c>
      <c r="W217" s="5">
        <f>M217+O217+Q217+S217+U217</f>
        <v/>
      </c>
    </row>
    <row r="218">
      <c r="A218" t="inlineStr">
        <is>
          <t>PNW</t>
        </is>
      </c>
      <c r="B218" t="inlineStr">
        <is>
          <t>Electronics Technician III</t>
        </is>
      </c>
      <c r="C218" t="inlineStr">
        <is>
          <t>SCA</t>
        </is>
      </c>
      <c r="D218" t="inlineStr">
        <is>
          <t>SCLS</t>
        </is>
      </c>
      <c r="E218" s="5" t="n">
        <v>39.28</v>
      </c>
      <c r="F218" s="4" t="n">
        <v>66920</v>
      </c>
      <c r="G218" s="5">
        <f>E218*F218</f>
        <v/>
      </c>
      <c r="H218" s="5">
        <f>G218*0.35</f>
        <v/>
      </c>
      <c r="I218" s="5">
        <f>(G218+H218)*0.05</f>
        <v/>
      </c>
      <c r="J218" s="5">
        <f>(G218+H218+I218)*0.03</f>
        <v/>
      </c>
      <c r="K218" s="5">
        <f>G218+H218+I218+J218</f>
        <v/>
      </c>
      <c r="L218" s="5">
        <f>K218*0.08</f>
        <v/>
      </c>
      <c r="M218" s="5">
        <f>K218+L218</f>
        <v/>
      </c>
      <c r="N218" s="4" t="n">
        <v>13384</v>
      </c>
      <c r="O218" s="5">
        <f>(E218*N218)*1.35*1.05*1.03*1.08</f>
        <v/>
      </c>
      <c r="P218" s="4" t="n">
        <v>13384</v>
      </c>
      <c r="Q218" s="5">
        <f>(E218*P218)*1.35*1.05*1.03*1.08</f>
        <v/>
      </c>
      <c r="R218" s="4" t="n">
        <v>13384</v>
      </c>
      <c r="S218" s="5">
        <f>(E218*R218)*1.35*1.05*1.03*1.08</f>
        <v/>
      </c>
      <c r="T218" s="4" t="n">
        <v>13384</v>
      </c>
      <c r="U218" s="5">
        <f>(E218*T218)*1.35*1.05*1.03*1.08</f>
        <v/>
      </c>
      <c r="V218" s="4">
        <f>F218+N218+P218+R218+T218</f>
        <v/>
      </c>
      <c r="W218" s="5">
        <f>M218+O218+Q218+S218+U218</f>
        <v/>
      </c>
    </row>
    <row r="219">
      <c r="A219" t="inlineStr">
        <is>
          <t>PNW</t>
        </is>
      </c>
      <c r="B219" t="inlineStr">
        <is>
          <t>Engineering Technician V</t>
        </is>
      </c>
      <c r="C219" t="inlineStr">
        <is>
          <t>SCA</t>
        </is>
      </c>
      <c r="D219" t="inlineStr">
        <is>
          <t>SCLS</t>
        </is>
      </c>
      <c r="E219" s="5" t="n">
        <v>38.19</v>
      </c>
      <c r="F219" s="4" t="n">
        <v>105160</v>
      </c>
      <c r="G219" s="5">
        <f>E219*F219</f>
        <v/>
      </c>
      <c r="H219" s="5">
        <f>G219*0.35</f>
        <v/>
      </c>
      <c r="I219" s="5">
        <f>(G219+H219)*0.05</f>
        <v/>
      </c>
      <c r="J219" s="5">
        <f>(G219+H219+I219)*0.03</f>
        <v/>
      </c>
      <c r="K219" s="5">
        <f>G219+H219+I219+J219</f>
        <v/>
      </c>
      <c r="L219" s="5">
        <f>K219*0.08</f>
        <v/>
      </c>
      <c r="M219" s="5">
        <f>K219+L219</f>
        <v/>
      </c>
      <c r="N219" s="4" t="n">
        <v>21032</v>
      </c>
      <c r="O219" s="5">
        <f>(E219*N219)*1.35*1.05*1.03*1.08</f>
        <v/>
      </c>
      <c r="P219" s="4" t="n">
        <v>21032</v>
      </c>
      <c r="Q219" s="5">
        <f>(E219*P219)*1.35*1.05*1.03*1.08</f>
        <v/>
      </c>
      <c r="R219" s="4" t="n">
        <v>21032</v>
      </c>
      <c r="S219" s="5">
        <f>(E219*R219)*1.35*1.05*1.03*1.08</f>
        <v/>
      </c>
      <c r="T219" s="4" t="n">
        <v>21032</v>
      </c>
      <c r="U219" s="5">
        <f>(E219*T219)*1.35*1.05*1.03*1.08</f>
        <v/>
      </c>
      <c r="V219" s="4">
        <f>F219+N219+P219+R219+T219</f>
        <v/>
      </c>
      <c r="W219" s="5">
        <f>M219+O219+Q219+S219+U219</f>
        <v/>
      </c>
    </row>
    <row r="220">
      <c r="A220" t="inlineStr">
        <is>
          <t>PNW</t>
        </is>
      </c>
      <c r="B220" t="inlineStr">
        <is>
          <t>Supply Technician</t>
        </is>
      </c>
      <c r="C220" t="inlineStr">
        <is>
          <t>SCA</t>
        </is>
      </c>
      <c r="D220" t="inlineStr">
        <is>
          <t>SCLS</t>
        </is>
      </c>
      <c r="E220" s="5" t="n">
        <v>34</v>
      </c>
      <c r="F220" s="4" t="n">
        <v>9560</v>
      </c>
      <c r="G220" s="5">
        <f>E220*F220</f>
        <v/>
      </c>
      <c r="H220" s="5">
        <f>G220*0.35</f>
        <v/>
      </c>
      <c r="I220" s="5">
        <f>(G220+H220)*0.05</f>
        <v/>
      </c>
      <c r="J220" s="5">
        <f>(G220+H220+I220)*0.03</f>
        <v/>
      </c>
      <c r="K220" s="5">
        <f>G220+H220+I220+J220</f>
        <v/>
      </c>
      <c r="L220" s="5">
        <f>K220*0.08</f>
        <v/>
      </c>
      <c r="M220" s="5">
        <f>K220+L220</f>
        <v/>
      </c>
      <c r="N220" s="4" t="n">
        <v>1912</v>
      </c>
      <c r="O220" s="5">
        <f>(E220*N220)*1.35*1.05*1.03*1.08</f>
        <v/>
      </c>
      <c r="P220" s="4" t="n">
        <v>1912</v>
      </c>
      <c r="Q220" s="5">
        <f>(E220*P220)*1.35*1.05*1.03*1.08</f>
        <v/>
      </c>
      <c r="R220" s="4" t="n">
        <v>1912</v>
      </c>
      <c r="S220" s="5">
        <f>(E220*R220)*1.35*1.05*1.03*1.08</f>
        <v/>
      </c>
      <c r="T220" s="4" t="n">
        <v>1912</v>
      </c>
      <c r="U220" s="5">
        <f>(E220*T220)*1.35*1.05*1.03*1.08</f>
        <v/>
      </c>
      <c r="V220" s="4">
        <f>F220+N220+P220+R220+T220</f>
        <v/>
      </c>
      <c r="W220" s="5">
        <f>M220+O220+Q220+S220+U220</f>
        <v/>
      </c>
    </row>
    <row r="221">
      <c r="A221" t="inlineStr">
        <is>
          <t>PNW</t>
        </is>
      </c>
      <c r="B221" t="inlineStr">
        <is>
          <t>Security Coordinator</t>
        </is>
      </c>
      <c r="C221" t="inlineStr">
        <is>
          <t>Non-SCA</t>
        </is>
      </c>
      <c r="D221" t="inlineStr">
        <is>
          <t>Exempt</t>
        </is>
      </c>
      <c r="E221" s="5" t="n">
        <v>70</v>
      </c>
      <c r="F221" s="4" t="n">
        <v>19120</v>
      </c>
      <c r="G221" s="5">
        <f>E221*F221</f>
        <v/>
      </c>
      <c r="H221" s="5">
        <f>G221*0.35</f>
        <v/>
      </c>
      <c r="I221" s="5">
        <f>(G221+H221)*0.05</f>
        <v/>
      </c>
      <c r="J221" s="5">
        <f>(G221+H221+I221)*0.03</f>
        <v/>
      </c>
      <c r="K221" s="5">
        <f>G221+H221+I221+J221</f>
        <v/>
      </c>
      <c r="L221" s="5">
        <f>K221*0.08</f>
        <v/>
      </c>
      <c r="M221" s="5">
        <f>K221+L221</f>
        <v/>
      </c>
      <c r="N221" s="4" t="n">
        <v>3824</v>
      </c>
      <c r="O221" s="5">
        <f>(E221*N221)*1.35*1.05*1.03*1.08</f>
        <v/>
      </c>
      <c r="P221" s="4" t="n">
        <v>3824</v>
      </c>
      <c r="Q221" s="5">
        <f>(E221*P221)*1.35*1.05*1.03*1.08</f>
        <v/>
      </c>
      <c r="R221" s="4" t="n">
        <v>3824</v>
      </c>
      <c r="S221" s="5">
        <f>(E221*R221)*1.35*1.05*1.03*1.08</f>
        <v/>
      </c>
      <c r="T221" s="4" t="n">
        <v>3824</v>
      </c>
      <c r="U221" s="5">
        <f>(E221*T221)*1.35*1.05*1.03*1.08</f>
        <v/>
      </c>
      <c r="V221" s="4">
        <f>F221+N221+P221+R221+T221</f>
        <v/>
      </c>
      <c r="W221" s="5">
        <f>M221+O221+Q221+S221+U221</f>
        <v/>
      </c>
    </row>
    <row r="222">
      <c r="A222" t="inlineStr">
        <is>
          <t>PNW</t>
        </is>
      </c>
      <c r="B222" t="inlineStr">
        <is>
          <t>Quality Assurance/Safety Evaluator</t>
        </is>
      </c>
      <c r="C222" t="inlineStr">
        <is>
          <t>Non-SCA</t>
        </is>
      </c>
      <c r="D222" t="inlineStr">
        <is>
          <t>Exempt</t>
        </is>
      </c>
      <c r="E222" s="5" t="n">
        <v>75</v>
      </c>
      <c r="F222" s="4" t="n">
        <v>9560</v>
      </c>
      <c r="G222" s="5">
        <f>E222*F222</f>
        <v/>
      </c>
      <c r="H222" s="5">
        <f>G222*0.35</f>
        <v/>
      </c>
      <c r="I222" s="5">
        <f>(G222+H222)*0.05</f>
        <v/>
      </c>
      <c r="J222" s="5">
        <f>(G222+H222+I222)*0.03</f>
        <v/>
      </c>
      <c r="K222" s="5">
        <f>G222+H222+I222+J222</f>
        <v/>
      </c>
      <c r="L222" s="5">
        <f>K222*0.08</f>
        <v/>
      </c>
      <c r="M222" s="5">
        <f>K222+L222</f>
        <v/>
      </c>
      <c r="N222" s="4" t="n">
        <v>1912</v>
      </c>
      <c r="O222" s="5">
        <f>(E222*N222)*1.35*1.05*1.03*1.08</f>
        <v/>
      </c>
      <c r="P222" s="4" t="n">
        <v>1912</v>
      </c>
      <c r="Q222" s="5">
        <f>(E222*P222)*1.35*1.05*1.03*1.08</f>
        <v/>
      </c>
      <c r="R222" s="4" t="n">
        <v>1912</v>
      </c>
      <c r="S222" s="5">
        <f>(E222*R222)*1.35*1.05*1.03*1.08</f>
        <v/>
      </c>
      <c r="T222" s="4" t="n">
        <v>1912</v>
      </c>
      <c r="U222" s="5">
        <f>(E222*T222)*1.35*1.05*1.03*1.08</f>
        <v/>
      </c>
      <c r="V222" s="4">
        <f>F222+N222+P222+R222+T222</f>
        <v/>
      </c>
      <c r="W222" s="5">
        <f>M222+O222+Q222+S222+U222</f>
        <v/>
      </c>
    </row>
    <row r="223">
      <c r="A223" t="inlineStr">
        <is>
          <t>SCTTR</t>
        </is>
      </c>
      <c r="B223" t="inlineStr">
        <is>
          <t>Site Manager</t>
        </is>
      </c>
      <c r="C223" t="inlineStr">
        <is>
          <t>Non-SCA</t>
        </is>
      </c>
      <c r="D223" t="inlineStr">
        <is>
          <t>Exempt</t>
        </is>
      </c>
      <c r="E223" s="5" t="n">
        <v>95</v>
      </c>
      <c r="F223" s="4" t="n">
        <v>9560</v>
      </c>
      <c r="G223" s="5">
        <f>E223*F223</f>
        <v/>
      </c>
      <c r="H223" s="5">
        <f>G223*0.35</f>
        <v/>
      </c>
      <c r="I223" s="5">
        <f>(G223+H223)*0.05</f>
        <v/>
      </c>
      <c r="J223" s="5">
        <f>(G223+H223+I223)*0.03</f>
        <v/>
      </c>
      <c r="K223" s="5">
        <f>G223+H223+I223+J223</f>
        <v/>
      </c>
      <c r="L223" s="5">
        <f>K223*0.08</f>
        <v/>
      </c>
      <c r="M223" s="5">
        <f>K223+L223</f>
        <v/>
      </c>
      <c r="N223" s="4" t="n">
        <v>1912</v>
      </c>
      <c r="O223" s="5">
        <f>(E223*N223)*1.35*1.05*1.03*1.08</f>
        <v/>
      </c>
      <c r="P223" s="4" t="n">
        <v>1912</v>
      </c>
      <c r="Q223" s="5">
        <f>(E223*P223)*1.35*1.05*1.03*1.08</f>
        <v/>
      </c>
      <c r="R223" s="4" t="n">
        <v>1912</v>
      </c>
      <c r="S223" s="5">
        <f>(E223*R223)*1.35*1.05*1.03*1.08</f>
        <v/>
      </c>
      <c r="T223" s="4" t="n">
        <v>1912</v>
      </c>
      <c r="U223" s="5">
        <f>(E223*T223)*1.35*1.05*1.03*1.08</f>
        <v/>
      </c>
      <c r="V223" s="4">
        <f>F223+N223+P223+R223+T223</f>
        <v/>
      </c>
      <c r="W223" s="5">
        <f>M223+O223+Q223+S223+U223</f>
        <v/>
      </c>
    </row>
    <row r="224">
      <c r="A224" t="inlineStr">
        <is>
          <t>SCTTR</t>
        </is>
      </c>
      <c r="B224" t="inlineStr">
        <is>
          <t>Mission Coordinator</t>
        </is>
      </c>
      <c r="C224" t="inlineStr">
        <is>
          <t>Non-SCA</t>
        </is>
      </c>
      <c r="D224" t="inlineStr">
        <is>
          <t>Exempt</t>
        </is>
      </c>
      <c r="E224" s="5" t="n">
        <v>85</v>
      </c>
      <c r="F224" s="4" t="n">
        <v>143400</v>
      </c>
      <c r="G224" s="5">
        <f>E224*F224</f>
        <v/>
      </c>
      <c r="H224" s="5">
        <f>G224*0.35</f>
        <v/>
      </c>
      <c r="I224" s="5">
        <f>(G224+H224)*0.05</f>
        <v/>
      </c>
      <c r="J224" s="5">
        <f>(G224+H224+I224)*0.03</f>
        <v/>
      </c>
      <c r="K224" s="5">
        <f>G224+H224+I224+J224</f>
        <v/>
      </c>
      <c r="L224" s="5">
        <f>K224*0.08</f>
        <v/>
      </c>
      <c r="M224" s="5">
        <f>K224+L224</f>
        <v/>
      </c>
      <c r="N224" s="4" t="n">
        <v>28680</v>
      </c>
      <c r="O224" s="5">
        <f>(E224*N224)*1.35*1.05*1.03*1.08</f>
        <v/>
      </c>
      <c r="P224" s="4" t="n">
        <v>28680</v>
      </c>
      <c r="Q224" s="5">
        <f>(E224*P224)*1.35*1.05*1.03*1.08</f>
        <v/>
      </c>
      <c r="R224" s="4" t="n">
        <v>28680</v>
      </c>
      <c r="S224" s="5">
        <f>(E224*R224)*1.35*1.05*1.03*1.08</f>
        <v/>
      </c>
      <c r="T224" s="4" t="n">
        <v>28680</v>
      </c>
      <c r="U224" s="5">
        <f>(E224*T224)*1.35*1.05*1.03*1.08</f>
        <v/>
      </c>
      <c r="V224" s="4">
        <f>F224+N224+P224+R224+T224</f>
        <v/>
      </c>
      <c r="W224" s="5">
        <f>M224+O224+Q224+S224+U224</f>
        <v/>
      </c>
    </row>
    <row r="225">
      <c r="A225" t="inlineStr">
        <is>
          <t>SCTTR</t>
        </is>
      </c>
      <c r="B225" t="inlineStr">
        <is>
          <t>Mission Coordinator, Senior</t>
        </is>
      </c>
      <c r="C225" t="inlineStr">
        <is>
          <t>Non-SCA</t>
        </is>
      </c>
      <c r="D225" t="inlineStr">
        <is>
          <t>Exempt</t>
        </is>
      </c>
      <c r="E225" s="5" t="n">
        <v>95</v>
      </c>
      <c r="F225" s="4" t="n">
        <v>19120</v>
      </c>
      <c r="G225" s="5">
        <f>E225*F225</f>
        <v/>
      </c>
      <c r="H225" s="5">
        <f>G225*0.35</f>
        <v/>
      </c>
      <c r="I225" s="5">
        <f>(G225+H225)*0.05</f>
        <v/>
      </c>
      <c r="J225" s="5">
        <f>(G225+H225+I225)*0.03</f>
        <v/>
      </c>
      <c r="K225" s="5">
        <f>G225+H225+I225+J225</f>
        <v/>
      </c>
      <c r="L225" s="5">
        <f>K225*0.08</f>
        <v/>
      </c>
      <c r="M225" s="5">
        <f>K225+L225</f>
        <v/>
      </c>
      <c r="N225" s="4" t="n">
        <v>3824</v>
      </c>
      <c r="O225" s="5">
        <f>(E225*N225)*1.35*1.05*1.03*1.08</f>
        <v/>
      </c>
      <c r="P225" s="4" t="n">
        <v>3824</v>
      </c>
      <c r="Q225" s="5">
        <f>(E225*P225)*1.35*1.05*1.03*1.08</f>
        <v/>
      </c>
      <c r="R225" s="4" t="n">
        <v>3824</v>
      </c>
      <c r="S225" s="5">
        <f>(E225*R225)*1.35*1.05*1.03*1.08</f>
        <v/>
      </c>
      <c r="T225" s="4" t="n">
        <v>3824</v>
      </c>
      <c r="U225" s="5">
        <f>(E225*T225)*1.35*1.05*1.03*1.08</f>
        <v/>
      </c>
      <c r="V225" s="4">
        <f>F225+N225+P225+R225+T225</f>
        <v/>
      </c>
      <c r="W225" s="5">
        <f>M225+O225+Q225+S225+U225</f>
        <v/>
      </c>
    </row>
    <row r="226">
      <c r="A226" t="inlineStr">
        <is>
          <t>SCTTR</t>
        </is>
      </c>
      <c r="B226" t="inlineStr">
        <is>
          <t>Technical Support Specialist</t>
        </is>
      </c>
      <c r="C226" t="inlineStr">
        <is>
          <t>Non-SCA</t>
        </is>
      </c>
      <c r="D226" t="inlineStr">
        <is>
          <t>Exempt</t>
        </is>
      </c>
      <c r="E226" s="5" t="n">
        <v>80</v>
      </c>
      <c r="F226" s="4" t="n">
        <v>95600</v>
      </c>
      <c r="G226" s="5">
        <f>E226*F226</f>
        <v/>
      </c>
      <c r="H226" s="5">
        <f>G226*0.35</f>
        <v/>
      </c>
      <c r="I226" s="5">
        <f>(G226+H226)*0.05</f>
        <v/>
      </c>
      <c r="J226" s="5">
        <f>(G226+H226+I226)*0.03</f>
        <v/>
      </c>
      <c r="K226" s="5">
        <f>G226+H226+I226+J226</f>
        <v/>
      </c>
      <c r="L226" s="5">
        <f>K226*0.08</f>
        <v/>
      </c>
      <c r="M226" s="5">
        <f>K226+L226</f>
        <v/>
      </c>
      <c r="N226" s="4" t="n">
        <v>19120</v>
      </c>
      <c r="O226" s="5">
        <f>(E226*N226)*1.35*1.05*1.03*1.08</f>
        <v/>
      </c>
      <c r="P226" s="4" t="n">
        <v>19120</v>
      </c>
      <c r="Q226" s="5">
        <f>(E226*P226)*1.35*1.05*1.03*1.08</f>
        <v/>
      </c>
      <c r="R226" s="4" t="n">
        <v>19120</v>
      </c>
      <c r="S226" s="5">
        <f>(E226*R226)*1.35*1.05*1.03*1.08</f>
        <v/>
      </c>
      <c r="T226" s="4" t="n">
        <v>19120</v>
      </c>
      <c r="U226" s="5">
        <f>(E226*T226)*1.35*1.05*1.03*1.08</f>
        <v/>
      </c>
      <c r="V226" s="4">
        <f>F226+N226+P226+R226+T226</f>
        <v/>
      </c>
      <c r="W226" s="5">
        <f>M226+O226+Q226+S226+U226</f>
        <v/>
      </c>
    </row>
    <row r="227">
      <c r="A227" t="inlineStr">
        <is>
          <t>SCTTR</t>
        </is>
      </c>
      <c r="B227" t="inlineStr">
        <is>
          <t>Engineering Technician III</t>
        </is>
      </c>
      <c r="C227" t="inlineStr">
        <is>
          <t>SCA</t>
        </is>
      </c>
      <c r="D227" t="inlineStr">
        <is>
          <t>SCLS</t>
        </is>
      </c>
      <c r="E227" s="5" t="n">
        <v>21.02</v>
      </c>
      <c r="F227" s="4" t="n">
        <v>105160</v>
      </c>
      <c r="G227" s="5">
        <f>E227*F227</f>
        <v/>
      </c>
      <c r="H227" s="5">
        <f>G227*0.35</f>
        <v/>
      </c>
      <c r="I227" s="5">
        <f>(G227+H227)*0.05</f>
        <v/>
      </c>
      <c r="J227" s="5">
        <f>(G227+H227+I227)*0.03</f>
        <v/>
      </c>
      <c r="K227" s="5">
        <f>G227+H227+I227+J227</f>
        <v/>
      </c>
      <c r="L227" s="5">
        <f>K227*0.08</f>
        <v/>
      </c>
      <c r="M227" s="5">
        <f>K227+L227</f>
        <v/>
      </c>
      <c r="N227" s="4" t="n">
        <v>21032</v>
      </c>
      <c r="O227" s="5">
        <f>(E227*N227)*1.35*1.05*1.03*1.08</f>
        <v/>
      </c>
      <c r="P227" s="4" t="n">
        <v>21032</v>
      </c>
      <c r="Q227" s="5">
        <f>(E227*P227)*1.35*1.05*1.03*1.08</f>
        <v/>
      </c>
      <c r="R227" s="4" t="n">
        <v>21032</v>
      </c>
      <c r="S227" s="5">
        <f>(E227*R227)*1.35*1.05*1.03*1.08</f>
        <v/>
      </c>
      <c r="T227" s="4" t="n">
        <v>21032</v>
      </c>
      <c r="U227" s="5">
        <f>(E227*T227)*1.35*1.05*1.03*1.08</f>
        <v/>
      </c>
      <c r="V227" s="4">
        <f>F227+N227+P227+R227+T227</f>
        <v/>
      </c>
      <c r="W227" s="5">
        <f>M227+O227+Q227+S227+U227</f>
        <v/>
      </c>
    </row>
    <row r="228">
      <c r="A228" t="inlineStr">
        <is>
          <t>SCTTR</t>
        </is>
      </c>
      <c r="B228" t="inlineStr">
        <is>
          <t>Operations Analyst</t>
        </is>
      </c>
      <c r="C228" t="inlineStr">
        <is>
          <t>Non-SCA</t>
        </is>
      </c>
      <c r="D228" t="inlineStr">
        <is>
          <t>Exempt</t>
        </is>
      </c>
      <c r="E228" s="5" t="n">
        <v>80</v>
      </c>
      <c r="F228" s="4" t="n">
        <v>181640</v>
      </c>
      <c r="G228" s="5">
        <f>E228*F228</f>
        <v/>
      </c>
      <c r="H228" s="5">
        <f>G228*0.35</f>
        <v/>
      </c>
      <c r="I228" s="5">
        <f>(G228+H228)*0.05</f>
        <v/>
      </c>
      <c r="J228" s="5">
        <f>(G228+H228+I228)*0.03</f>
        <v/>
      </c>
      <c r="K228" s="5">
        <f>G228+H228+I228+J228</f>
        <v/>
      </c>
      <c r="L228" s="5">
        <f>K228*0.08</f>
        <v/>
      </c>
      <c r="M228" s="5">
        <f>K228+L228</f>
        <v/>
      </c>
      <c r="N228" s="4" t="n">
        <v>36328</v>
      </c>
      <c r="O228" s="5">
        <f>(E228*N228)*1.35*1.05*1.03*1.08</f>
        <v/>
      </c>
      <c r="P228" s="4" t="n">
        <v>36328</v>
      </c>
      <c r="Q228" s="5">
        <f>(E228*P228)*1.35*1.05*1.03*1.08</f>
        <v/>
      </c>
      <c r="R228" s="4" t="n">
        <v>36328</v>
      </c>
      <c r="S228" s="5">
        <f>(E228*R228)*1.35*1.05*1.03*1.08</f>
        <v/>
      </c>
      <c r="T228" s="4" t="n">
        <v>36328</v>
      </c>
      <c r="U228" s="5">
        <f>(E228*T228)*1.35*1.05*1.03*1.08</f>
        <v/>
      </c>
      <c r="V228" s="4">
        <f>F228+N228+P228+R228+T228</f>
        <v/>
      </c>
      <c r="W228" s="5">
        <f>M228+O228+Q228+S228+U228</f>
        <v/>
      </c>
    </row>
    <row r="229">
      <c r="A229" t="inlineStr">
        <is>
          <t>SCTTR</t>
        </is>
      </c>
      <c r="B229" t="inlineStr">
        <is>
          <t>Electronics Technician III</t>
        </is>
      </c>
      <c r="C229" t="inlineStr">
        <is>
          <t>SCA</t>
        </is>
      </c>
      <c r="D229" t="inlineStr">
        <is>
          <t>CBA</t>
        </is>
      </c>
      <c r="E229" s="5" t="n">
        <v>28.42</v>
      </c>
      <c r="F229" s="4" t="n">
        <v>219880</v>
      </c>
      <c r="G229" s="5">
        <f>E229*F229</f>
        <v/>
      </c>
      <c r="H229" s="5">
        <f>G229*0.35</f>
        <v/>
      </c>
      <c r="I229" s="5">
        <f>(G229+H229)*0.05</f>
        <v/>
      </c>
      <c r="J229" s="5">
        <f>(G229+H229+I229)*0.03</f>
        <v/>
      </c>
      <c r="K229" s="5">
        <f>G229+H229+I229+J229</f>
        <v/>
      </c>
      <c r="L229" s="5">
        <f>K229*0.08</f>
        <v/>
      </c>
      <c r="M229" s="5">
        <f>K229+L229</f>
        <v/>
      </c>
      <c r="N229" s="4" t="n">
        <v>43976</v>
      </c>
      <c r="O229" s="5">
        <f>(E229*N229)*1.35*1.05*1.03*1.08</f>
        <v/>
      </c>
      <c r="P229" s="4" t="n">
        <v>43976</v>
      </c>
      <c r="Q229" s="5">
        <f>(E229*P229)*1.35*1.05*1.03*1.08</f>
        <v/>
      </c>
      <c r="R229" s="4" t="n">
        <v>43976</v>
      </c>
      <c r="S229" s="5">
        <f>(E229*R229)*1.35*1.05*1.03*1.08</f>
        <v/>
      </c>
      <c r="T229" s="4" t="n">
        <v>43976</v>
      </c>
      <c r="U229" s="5">
        <f>(E229*T229)*1.35*1.05*1.03*1.08</f>
        <v/>
      </c>
      <c r="V229" s="4">
        <f>F229+N229+P229+R229+T229</f>
        <v/>
      </c>
      <c r="W229" s="5">
        <f>M229+O229+Q229+S229+U229</f>
        <v/>
      </c>
    </row>
    <row r="230">
      <c r="A230" t="inlineStr">
        <is>
          <t>SCTTR</t>
        </is>
      </c>
      <c r="B230" t="inlineStr">
        <is>
          <t>Engineering Technician V</t>
        </is>
      </c>
      <c r="C230" t="inlineStr">
        <is>
          <t>SCA</t>
        </is>
      </c>
      <c r="D230" t="inlineStr">
        <is>
          <t>CBA</t>
        </is>
      </c>
      <c r="E230" s="5" t="n">
        <v>31.86</v>
      </c>
      <c r="F230" s="4" t="n">
        <v>66920</v>
      </c>
      <c r="G230" s="5">
        <f>E230*F230</f>
        <v/>
      </c>
      <c r="H230" s="5">
        <f>G230*0.35</f>
        <v/>
      </c>
      <c r="I230" s="5">
        <f>(G230+H230)*0.05</f>
        <v/>
      </c>
      <c r="J230" s="5">
        <f>(G230+H230+I230)*0.03</f>
        <v/>
      </c>
      <c r="K230" s="5">
        <f>G230+H230+I230+J230</f>
        <v/>
      </c>
      <c r="L230" s="5">
        <f>K230*0.08</f>
        <v/>
      </c>
      <c r="M230" s="5">
        <f>K230+L230</f>
        <v/>
      </c>
      <c r="N230" s="4" t="n">
        <v>13384</v>
      </c>
      <c r="O230" s="5">
        <f>(E230*N230)*1.35*1.05*1.03*1.08</f>
        <v/>
      </c>
      <c r="P230" s="4" t="n">
        <v>13384</v>
      </c>
      <c r="Q230" s="5">
        <f>(E230*P230)*1.35*1.05*1.03*1.08</f>
        <v/>
      </c>
      <c r="R230" s="4" t="n">
        <v>13384</v>
      </c>
      <c r="S230" s="5">
        <f>(E230*R230)*1.35*1.05*1.03*1.08</f>
        <v/>
      </c>
      <c r="T230" s="4" t="n">
        <v>13384</v>
      </c>
      <c r="U230" s="5">
        <f>(E230*T230)*1.35*1.05*1.03*1.08</f>
        <v/>
      </c>
      <c r="V230" s="4">
        <f>F230+N230+P230+R230+T230</f>
        <v/>
      </c>
      <c r="W230" s="5">
        <f>M230+O230+Q230+S230+U230</f>
        <v/>
      </c>
    </row>
    <row r="231">
      <c r="A231" t="inlineStr">
        <is>
          <t>SCTTR</t>
        </is>
      </c>
      <c r="B231" t="inlineStr">
        <is>
          <t>Range Control Facilitator</t>
        </is>
      </c>
      <c r="C231" t="inlineStr">
        <is>
          <t>Non-SCA</t>
        </is>
      </c>
      <c r="D231" t="inlineStr">
        <is>
          <t>Exempt</t>
        </is>
      </c>
      <c r="E231" s="5" t="n">
        <v>80</v>
      </c>
      <c r="F231" s="4" t="n">
        <v>95600</v>
      </c>
      <c r="G231" s="5">
        <f>E231*F231</f>
        <v/>
      </c>
      <c r="H231" s="5">
        <f>G231*0.35</f>
        <v/>
      </c>
      <c r="I231" s="5">
        <f>(G231+H231)*0.05</f>
        <v/>
      </c>
      <c r="J231" s="5">
        <f>(G231+H231+I231)*0.03</f>
        <v/>
      </c>
      <c r="K231" s="5">
        <f>G231+H231+I231+J231</f>
        <v/>
      </c>
      <c r="L231" s="5">
        <f>K231*0.08</f>
        <v/>
      </c>
      <c r="M231" s="5">
        <f>K231+L231</f>
        <v/>
      </c>
      <c r="N231" s="4" t="n">
        <v>19120</v>
      </c>
      <c r="O231" s="5">
        <f>(E231*N231)*1.35*1.05*1.03*1.08</f>
        <v/>
      </c>
      <c r="P231" s="4" t="n">
        <v>19120</v>
      </c>
      <c r="Q231" s="5">
        <f>(E231*P231)*1.35*1.05*1.03*1.08</f>
        <v/>
      </c>
      <c r="R231" s="4" t="n">
        <v>19120</v>
      </c>
      <c r="S231" s="5">
        <f>(E231*R231)*1.35*1.05*1.03*1.08</f>
        <v/>
      </c>
      <c r="T231" s="4" t="n">
        <v>19120</v>
      </c>
      <c r="U231" s="5">
        <f>(E231*T231)*1.35*1.05*1.03*1.08</f>
        <v/>
      </c>
      <c r="V231" s="4">
        <f>F231+N231+P231+R231+T231</f>
        <v/>
      </c>
      <c r="W231" s="5">
        <f>M231+O231+Q231+S231+U231</f>
        <v/>
      </c>
    </row>
    <row r="232">
      <c r="A232" t="inlineStr">
        <is>
          <t>SCTTR</t>
        </is>
      </c>
      <c r="B232" t="inlineStr">
        <is>
          <t>Electronics Technician II</t>
        </is>
      </c>
      <c r="C232" t="inlineStr">
        <is>
          <t>SCA</t>
        </is>
      </c>
      <c r="D232" t="inlineStr">
        <is>
          <t>CBA</t>
        </is>
      </c>
      <c r="E232" s="5" t="n">
        <v>26.88</v>
      </c>
      <c r="F232" s="4" t="n">
        <v>210320</v>
      </c>
      <c r="G232" s="5">
        <f>E232*F232</f>
        <v/>
      </c>
      <c r="H232" s="5">
        <f>G232*0.35</f>
        <v/>
      </c>
      <c r="I232" s="5">
        <f>(G232+H232)*0.05</f>
        <v/>
      </c>
      <c r="J232" s="5">
        <f>(G232+H232+I232)*0.03</f>
        <v/>
      </c>
      <c r="K232" s="5">
        <f>G232+H232+I232+J232</f>
        <v/>
      </c>
      <c r="L232" s="5">
        <f>K232*0.08</f>
        <v/>
      </c>
      <c r="M232" s="5">
        <f>K232+L232</f>
        <v/>
      </c>
      <c r="N232" s="4" t="n">
        <v>42064</v>
      </c>
      <c r="O232" s="5">
        <f>(E232*N232)*1.35*1.05*1.03*1.08</f>
        <v/>
      </c>
      <c r="P232" s="4" t="n">
        <v>42064</v>
      </c>
      <c r="Q232" s="5">
        <f>(E232*P232)*1.35*1.05*1.03*1.08</f>
        <v/>
      </c>
      <c r="R232" s="4" t="n">
        <v>42064</v>
      </c>
      <c r="S232" s="5">
        <f>(E232*R232)*1.35*1.05*1.03*1.08</f>
        <v/>
      </c>
      <c r="T232" s="4" t="n">
        <v>42064</v>
      </c>
      <c r="U232" s="5">
        <f>(E232*T232)*1.35*1.05*1.03*1.08</f>
        <v/>
      </c>
      <c r="V232" s="4">
        <f>F232+N232+P232+R232+T232</f>
        <v/>
      </c>
      <c r="W232" s="5">
        <f>M232+O232+Q232+S232+U232</f>
        <v/>
      </c>
    </row>
    <row r="233">
      <c r="A233" t="inlineStr">
        <is>
          <t>SCTTR</t>
        </is>
      </c>
      <c r="B233" t="inlineStr">
        <is>
          <t>Electronics Technician I</t>
        </is>
      </c>
      <c r="C233" t="inlineStr">
        <is>
          <t>SCA</t>
        </is>
      </c>
      <c r="D233" t="inlineStr">
        <is>
          <t>SCLS</t>
        </is>
      </c>
      <c r="E233" s="5" t="n">
        <v>25.43</v>
      </c>
      <c r="F233" s="4" t="n">
        <v>38240</v>
      </c>
      <c r="G233" s="5">
        <f>E233*F233</f>
        <v/>
      </c>
      <c r="H233" s="5">
        <f>G233*0.35</f>
        <v/>
      </c>
      <c r="I233" s="5">
        <f>(G233+H233)*0.05</f>
        <v/>
      </c>
      <c r="J233" s="5">
        <f>(G233+H233+I233)*0.03</f>
        <v/>
      </c>
      <c r="K233" s="5">
        <f>G233+H233+I233+J233</f>
        <v/>
      </c>
      <c r="L233" s="5">
        <f>K233*0.08</f>
        <v/>
      </c>
      <c r="M233" s="5">
        <f>K233+L233</f>
        <v/>
      </c>
      <c r="N233" s="4" t="n">
        <v>7648</v>
      </c>
      <c r="O233" s="5">
        <f>(E233*N233)*1.35*1.05*1.03*1.08</f>
        <v/>
      </c>
      <c r="P233" s="4" t="n">
        <v>7648</v>
      </c>
      <c r="Q233" s="5">
        <f>(E233*P233)*1.35*1.05*1.03*1.08</f>
        <v/>
      </c>
      <c r="R233" s="4" t="n">
        <v>7648</v>
      </c>
      <c r="S233" s="5">
        <f>(E233*R233)*1.35*1.05*1.03*1.08</f>
        <v/>
      </c>
      <c r="T233" s="4" t="n">
        <v>7648</v>
      </c>
      <c r="U233" s="5">
        <f>(E233*T233)*1.35*1.05*1.03*1.08</f>
        <v/>
      </c>
      <c r="V233" s="4">
        <f>F233+N233+P233+R233+T233</f>
        <v/>
      </c>
      <c r="W233" s="5">
        <f>M233+O233+Q233+S233+U233</f>
        <v/>
      </c>
    </row>
    <row r="234">
      <c r="A234" t="inlineStr">
        <is>
          <t>SCTTR</t>
        </is>
      </c>
      <c r="B234" t="inlineStr">
        <is>
          <t>UXO Technician III</t>
        </is>
      </c>
      <c r="C234" t="inlineStr">
        <is>
          <t>SCA</t>
        </is>
      </c>
      <c r="D234" t="inlineStr">
        <is>
          <t>SCLS</t>
        </is>
      </c>
      <c r="E234" s="5" t="n">
        <v>42.46</v>
      </c>
      <c r="F234" s="4" t="n">
        <v>57360</v>
      </c>
      <c r="G234" s="5">
        <f>E234*F234</f>
        <v/>
      </c>
      <c r="H234" s="5">
        <f>G234*0.35</f>
        <v/>
      </c>
      <c r="I234" s="5">
        <f>(G234+H234)*0.05</f>
        <v/>
      </c>
      <c r="J234" s="5">
        <f>(G234+H234+I234)*0.03</f>
        <v/>
      </c>
      <c r="K234" s="5">
        <f>G234+H234+I234+J234</f>
        <v/>
      </c>
      <c r="L234" s="5">
        <f>K234*0.08</f>
        <v/>
      </c>
      <c r="M234" s="5">
        <f>K234+L234</f>
        <v/>
      </c>
      <c r="N234" s="4" t="n">
        <v>11472</v>
      </c>
      <c r="O234" s="5">
        <f>(E234*N234)*1.35*1.05*1.03*1.08</f>
        <v/>
      </c>
      <c r="P234" s="4" t="n">
        <v>11472</v>
      </c>
      <c r="Q234" s="5">
        <f>(E234*P234)*1.35*1.05*1.03*1.08</f>
        <v/>
      </c>
      <c r="R234" s="4" t="n">
        <v>11472</v>
      </c>
      <c r="S234" s="5">
        <f>(E234*R234)*1.35*1.05*1.03*1.08</f>
        <v/>
      </c>
      <c r="T234" s="4" t="n">
        <v>11472</v>
      </c>
      <c r="U234" s="5">
        <f>(E234*T234)*1.35*1.05*1.03*1.08</f>
        <v/>
      </c>
      <c r="V234" s="4">
        <f>F234+N234+P234+R234+T234</f>
        <v/>
      </c>
      <c r="W234" s="5">
        <f>M234+O234+Q234+S234+U234</f>
        <v/>
      </c>
    </row>
    <row r="235">
      <c r="A235" t="inlineStr">
        <is>
          <t>SCTTR</t>
        </is>
      </c>
      <c r="B235" t="inlineStr">
        <is>
          <t>Logistician Analyst IV</t>
        </is>
      </c>
      <c r="C235" t="inlineStr">
        <is>
          <t>Non-SCA</t>
        </is>
      </c>
      <c r="D235" t="inlineStr">
        <is>
          <t>Exempt</t>
        </is>
      </c>
      <c r="E235" s="5" t="n">
        <v>75</v>
      </c>
      <c r="F235" s="4" t="n">
        <v>28680</v>
      </c>
      <c r="G235" s="5">
        <f>E235*F235</f>
        <v/>
      </c>
      <c r="H235" s="5">
        <f>G235*0.35</f>
        <v/>
      </c>
      <c r="I235" s="5">
        <f>(G235+H235)*0.05</f>
        <v/>
      </c>
      <c r="J235" s="5">
        <f>(G235+H235+I235)*0.03</f>
        <v/>
      </c>
      <c r="K235" s="5">
        <f>G235+H235+I235+J235</f>
        <v/>
      </c>
      <c r="L235" s="5">
        <f>K235*0.08</f>
        <v/>
      </c>
      <c r="M235" s="5">
        <f>K235+L235</f>
        <v/>
      </c>
      <c r="N235" s="4" t="n">
        <v>5736</v>
      </c>
      <c r="O235" s="5">
        <f>(E235*N235)*1.35*1.05*1.03*1.08</f>
        <v/>
      </c>
      <c r="P235" s="4" t="n">
        <v>5736</v>
      </c>
      <c r="Q235" s="5">
        <f>(E235*P235)*1.35*1.05*1.03*1.08</f>
        <v/>
      </c>
      <c r="R235" s="4" t="n">
        <v>5736</v>
      </c>
      <c r="S235" s="5">
        <f>(E235*R235)*1.35*1.05*1.03*1.08</f>
        <v/>
      </c>
      <c r="T235" s="4" t="n">
        <v>5736</v>
      </c>
      <c r="U235" s="5">
        <f>(E235*T235)*1.35*1.05*1.03*1.08</f>
        <v/>
      </c>
      <c r="V235" s="4">
        <f>F235+N235+P235+R235+T235</f>
        <v/>
      </c>
      <c r="W235" s="5">
        <f>M235+O235+Q235+S235+U235</f>
        <v/>
      </c>
    </row>
    <row r="236">
      <c r="A236" t="inlineStr">
        <is>
          <t>SCTTR</t>
        </is>
      </c>
      <c r="B236" t="inlineStr">
        <is>
          <t>Supply Technician</t>
        </is>
      </c>
      <c r="C236" t="inlineStr">
        <is>
          <t>SCA</t>
        </is>
      </c>
      <c r="D236" t="inlineStr">
        <is>
          <t>SCLS</t>
        </is>
      </c>
      <c r="E236" s="5" t="n">
        <v>29.44</v>
      </c>
      <c r="F236" s="4" t="n">
        <v>19120</v>
      </c>
      <c r="G236" s="5">
        <f>E236*F236</f>
        <v/>
      </c>
      <c r="H236" s="5">
        <f>G236*0.35</f>
        <v/>
      </c>
      <c r="I236" s="5">
        <f>(G236+H236)*0.05</f>
        <v/>
      </c>
      <c r="J236" s="5">
        <f>(G236+H236+I236)*0.03</f>
        <v/>
      </c>
      <c r="K236" s="5">
        <f>G236+H236+I236+J236</f>
        <v/>
      </c>
      <c r="L236" s="5">
        <f>K236*0.08</f>
        <v/>
      </c>
      <c r="M236" s="5">
        <f>K236+L236</f>
        <v/>
      </c>
      <c r="N236" s="4" t="n">
        <v>3824</v>
      </c>
      <c r="O236" s="5">
        <f>(E236*N236)*1.35*1.05*1.03*1.08</f>
        <v/>
      </c>
      <c r="P236" s="4" t="n">
        <v>3824</v>
      </c>
      <c r="Q236" s="5">
        <f>(E236*P236)*1.35*1.05*1.03*1.08</f>
        <v/>
      </c>
      <c r="R236" s="4" t="n">
        <v>3824</v>
      </c>
      <c r="S236" s="5">
        <f>(E236*R236)*1.35*1.05*1.03*1.08</f>
        <v/>
      </c>
      <c r="T236" s="4" t="n">
        <v>3824</v>
      </c>
      <c r="U236" s="5">
        <f>(E236*T236)*1.35*1.05*1.03*1.08</f>
        <v/>
      </c>
      <c r="V236" s="4">
        <f>F236+N236+P236+R236+T236</f>
        <v/>
      </c>
      <c r="W236" s="5">
        <f>M236+O236+Q236+S236+U236</f>
        <v/>
      </c>
    </row>
    <row r="237">
      <c r="A237" t="inlineStr">
        <is>
          <t>SCTTR</t>
        </is>
      </c>
      <c r="B237" t="inlineStr">
        <is>
          <t>Security Coordinator</t>
        </is>
      </c>
      <c r="C237" t="inlineStr">
        <is>
          <t>Non-SCA</t>
        </is>
      </c>
      <c r="D237" t="inlineStr">
        <is>
          <t>Exempt</t>
        </is>
      </c>
      <c r="E237" s="5" t="n">
        <v>70</v>
      </c>
      <c r="F237" s="4" t="n">
        <v>28680</v>
      </c>
      <c r="G237" s="5">
        <f>E237*F237</f>
        <v/>
      </c>
      <c r="H237" s="5">
        <f>G237*0.35</f>
        <v/>
      </c>
      <c r="I237" s="5">
        <f>(G237+H237)*0.05</f>
        <v/>
      </c>
      <c r="J237" s="5">
        <f>(G237+H237+I237)*0.03</f>
        <v/>
      </c>
      <c r="K237" s="5">
        <f>G237+H237+I237+J237</f>
        <v/>
      </c>
      <c r="L237" s="5">
        <f>K237*0.08</f>
        <v/>
      </c>
      <c r="M237" s="5">
        <f>K237+L237</f>
        <v/>
      </c>
      <c r="N237" s="4" t="n">
        <v>5736</v>
      </c>
      <c r="O237" s="5">
        <f>(E237*N237)*1.35*1.05*1.03*1.08</f>
        <v/>
      </c>
      <c r="P237" s="4" t="n">
        <v>5736</v>
      </c>
      <c r="Q237" s="5">
        <f>(E237*P237)*1.35*1.05*1.03*1.08</f>
        <v/>
      </c>
      <c r="R237" s="4" t="n">
        <v>5736</v>
      </c>
      <c r="S237" s="5">
        <f>(E237*R237)*1.35*1.05*1.03*1.08</f>
        <v/>
      </c>
      <c r="T237" s="4" t="n">
        <v>5736</v>
      </c>
      <c r="U237" s="5">
        <f>(E237*T237)*1.35*1.05*1.03*1.08</f>
        <v/>
      </c>
      <c r="V237" s="4">
        <f>F237+N237+P237+R237+T237</f>
        <v/>
      </c>
      <c r="W237" s="5">
        <f>M237+O237+Q237+S237+U237</f>
        <v/>
      </c>
    </row>
    <row r="238">
      <c r="A238" t="inlineStr">
        <is>
          <t>SCTTR</t>
        </is>
      </c>
      <c r="B238" t="inlineStr">
        <is>
          <t>Quality Assurance/Safety Evaluator</t>
        </is>
      </c>
      <c r="C238" t="inlineStr">
        <is>
          <t>Non-SCA</t>
        </is>
      </c>
      <c r="D238" t="inlineStr">
        <is>
          <t>Exempt</t>
        </is>
      </c>
      <c r="E238" s="5" t="n">
        <v>75</v>
      </c>
      <c r="F238" s="4" t="n">
        <v>9560</v>
      </c>
      <c r="G238" s="5">
        <f>E238*F238</f>
        <v/>
      </c>
      <c r="H238" s="5">
        <f>G238*0.35</f>
        <v/>
      </c>
      <c r="I238" s="5">
        <f>(G238+H238)*0.05</f>
        <v/>
      </c>
      <c r="J238" s="5">
        <f>(G238+H238+I238)*0.03</f>
        <v/>
      </c>
      <c r="K238" s="5">
        <f>G238+H238+I238+J238</f>
        <v/>
      </c>
      <c r="L238" s="5">
        <f>K238*0.08</f>
        <v/>
      </c>
      <c r="M238" s="5">
        <f>K238+L238</f>
        <v/>
      </c>
      <c r="N238" s="4" t="n">
        <v>1912</v>
      </c>
      <c r="O238" s="5">
        <f>(E238*N238)*1.35*1.05*1.03*1.08</f>
        <v/>
      </c>
      <c r="P238" s="4" t="n">
        <v>1912</v>
      </c>
      <c r="Q238" s="5">
        <f>(E238*P238)*1.35*1.05*1.03*1.08</f>
        <v/>
      </c>
      <c r="R238" s="4" t="n">
        <v>1912</v>
      </c>
      <c r="S238" s="5">
        <f>(E238*R238)*1.35*1.05*1.03*1.08</f>
        <v/>
      </c>
      <c r="T238" s="4" t="n">
        <v>1912</v>
      </c>
      <c r="U238" s="5">
        <f>(E238*T238)*1.35*1.05*1.03*1.08</f>
        <v/>
      </c>
      <c r="V238" s="4">
        <f>F238+N238+P238+R238+T238</f>
        <v/>
      </c>
      <c r="W238" s="5">
        <f>M238+O238+Q238+S238+U238</f>
        <v/>
      </c>
    </row>
    <row r="239">
      <c r="A239" t="inlineStr">
        <is>
          <t>TTGP</t>
        </is>
      </c>
      <c r="B239" t="inlineStr">
        <is>
          <t>Site Manager</t>
        </is>
      </c>
      <c r="C239" t="inlineStr">
        <is>
          <t>Non-SCA</t>
        </is>
      </c>
      <c r="D239" t="inlineStr">
        <is>
          <t>Exempt</t>
        </is>
      </c>
      <c r="E239" s="5" t="n">
        <v>95</v>
      </c>
      <c r="F239" s="4" t="n">
        <v>9560</v>
      </c>
      <c r="G239" s="5">
        <f>E239*F239</f>
        <v/>
      </c>
      <c r="H239" s="5">
        <f>G239*0.35</f>
        <v/>
      </c>
      <c r="I239" s="5">
        <f>(G239+H239)*0.05</f>
        <v/>
      </c>
      <c r="J239" s="5">
        <f>(G239+H239+I239)*0.03</f>
        <v/>
      </c>
      <c r="K239" s="5">
        <f>G239+H239+I239+J239</f>
        <v/>
      </c>
      <c r="L239" s="5">
        <f>K239*0.08</f>
        <v/>
      </c>
      <c r="M239" s="5">
        <f>K239+L239</f>
        <v/>
      </c>
      <c r="N239" s="4" t="n">
        <v>1912</v>
      </c>
      <c r="O239" s="5">
        <f>(E239*N239)*1.35*1.05*1.03*1.08</f>
        <v/>
      </c>
      <c r="P239" s="4" t="n">
        <v>1912</v>
      </c>
      <c r="Q239" s="5">
        <f>(E239*P239)*1.35*1.05*1.03*1.08</f>
        <v/>
      </c>
      <c r="R239" s="4" t="n">
        <v>1912</v>
      </c>
      <c r="S239" s="5">
        <f>(E239*R239)*1.35*1.05*1.03*1.08</f>
        <v/>
      </c>
      <c r="T239" s="4" t="n">
        <v>1912</v>
      </c>
      <c r="U239" s="5">
        <f>(E239*T239)*1.35*1.05*1.03*1.08</f>
        <v/>
      </c>
      <c r="V239" s="4">
        <f>F239+N239+P239+R239+T239</f>
        <v/>
      </c>
      <c r="W239" s="5">
        <f>M239+O239+Q239+S239+U239</f>
        <v/>
      </c>
    </row>
    <row r="240">
      <c r="A240" t="inlineStr">
        <is>
          <t>TTGP</t>
        </is>
      </c>
      <c r="B240" t="inlineStr">
        <is>
          <t>Mission Coordinator, Senior</t>
        </is>
      </c>
      <c r="C240" t="inlineStr">
        <is>
          <t>Non-SCA</t>
        </is>
      </c>
      <c r="D240" t="inlineStr">
        <is>
          <t>Exempt</t>
        </is>
      </c>
      <c r="E240" s="5" t="n">
        <v>95</v>
      </c>
      <c r="F240" s="4" t="n">
        <v>9560</v>
      </c>
      <c r="G240" s="5">
        <f>E240*F240</f>
        <v/>
      </c>
      <c r="H240" s="5">
        <f>G240*0.35</f>
        <v/>
      </c>
      <c r="I240" s="5">
        <f>(G240+H240)*0.05</f>
        <v/>
      </c>
      <c r="J240" s="5">
        <f>(G240+H240+I240)*0.03</f>
        <v/>
      </c>
      <c r="K240" s="5">
        <f>G240+H240+I240+J240</f>
        <v/>
      </c>
      <c r="L240" s="5">
        <f>K240*0.08</f>
        <v/>
      </c>
      <c r="M240" s="5">
        <f>K240+L240</f>
        <v/>
      </c>
      <c r="N240" s="4" t="n">
        <v>1912</v>
      </c>
      <c r="O240" s="5">
        <f>(E240*N240)*1.35*1.05*1.03*1.08</f>
        <v/>
      </c>
      <c r="P240" s="4" t="n">
        <v>1912</v>
      </c>
      <c r="Q240" s="5">
        <f>(E240*P240)*1.35*1.05*1.03*1.08</f>
        <v/>
      </c>
      <c r="R240" s="4" t="n">
        <v>1912</v>
      </c>
      <c r="S240" s="5">
        <f>(E240*R240)*1.35*1.05*1.03*1.08</f>
        <v/>
      </c>
      <c r="T240" s="4" t="n">
        <v>1912</v>
      </c>
      <c r="U240" s="5">
        <f>(E240*T240)*1.35*1.05*1.03*1.08</f>
        <v/>
      </c>
      <c r="V240" s="4">
        <f>F240+N240+P240+R240+T240</f>
        <v/>
      </c>
      <c r="W240" s="5">
        <f>M240+O240+Q240+S240+U240</f>
        <v/>
      </c>
    </row>
    <row r="241">
      <c r="A241" t="inlineStr">
        <is>
          <t>TTGP</t>
        </is>
      </c>
      <c r="B241" t="inlineStr">
        <is>
          <t>Mission Coordinator</t>
        </is>
      </c>
      <c r="C241" t="inlineStr">
        <is>
          <t>Non-SCA</t>
        </is>
      </c>
      <c r="D241" t="inlineStr">
        <is>
          <t>Exempt</t>
        </is>
      </c>
      <c r="E241" s="5" t="n">
        <v>85</v>
      </c>
      <c r="F241" s="4" t="n">
        <v>95600</v>
      </c>
      <c r="G241" s="5">
        <f>E241*F241</f>
        <v/>
      </c>
      <c r="H241" s="5">
        <f>G241*0.35</f>
        <v/>
      </c>
      <c r="I241" s="5">
        <f>(G241+H241)*0.05</f>
        <v/>
      </c>
      <c r="J241" s="5">
        <f>(G241+H241+I241)*0.03</f>
        <v/>
      </c>
      <c r="K241" s="5">
        <f>G241+H241+I241+J241</f>
        <v/>
      </c>
      <c r="L241" s="5">
        <f>K241*0.08</f>
        <v/>
      </c>
      <c r="M241" s="5">
        <f>K241+L241</f>
        <v/>
      </c>
      <c r="N241" s="4" t="n">
        <v>19120</v>
      </c>
      <c r="O241" s="5">
        <f>(E241*N241)*1.35*1.05*1.03*1.08</f>
        <v/>
      </c>
      <c r="P241" s="4" t="n">
        <v>19120</v>
      </c>
      <c r="Q241" s="5">
        <f>(E241*P241)*1.35*1.05*1.03*1.08</f>
        <v/>
      </c>
      <c r="R241" s="4" t="n">
        <v>19120</v>
      </c>
      <c r="S241" s="5">
        <f>(E241*R241)*1.35*1.05*1.03*1.08</f>
        <v/>
      </c>
      <c r="T241" s="4" t="n">
        <v>19120</v>
      </c>
      <c r="U241" s="5">
        <f>(E241*T241)*1.35*1.05*1.03*1.08</f>
        <v/>
      </c>
      <c r="V241" s="4">
        <f>F241+N241+P241+R241+T241</f>
        <v/>
      </c>
      <c r="W241" s="5">
        <f>M241+O241+Q241+S241+U241</f>
        <v/>
      </c>
    </row>
    <row r="242">
      <c r="A242" t="inlineStr">
        <is>
          <t>TTGP</t>
        </is>
      </c>
      <c r="B242" t="inlineStr">
        <is>
          <t>Network Administrator III</t>
        </is>
      </c>
      <c r="C242" t="inlineStr">
        <is>
          <t>Non-SCA</t>
        </is>
      </c>
      <c r="D242" t="inlineStr">
        <is>
          <t>Exempt</t>
        </is>
      </c>
      <c r="E242" s="5" t="n">
        <v>80</v>
      </c>
      <c r="F242" s="4" t="n">
        <v>66920</v>
      </c>
      <c r="G242" s="5">
        <f>E242*F242</f>
        <v/>
      </c>
      <c r="H242" s="5">
        <f>G242*0.35</f>
        <v/>
      </c>
      <c r="I242" s="5">
        <f>(G242+H242)*0.05</f>
        <v/>
      </c>
      <c r="J242" s="5">
        <f>(G242+H242+I242)*0.03</f>
        <v/>
      </c>
      <c r="K242" s="5">
        <f>G242+H242+I242+J242</f>
        <v/>
      </c>
      <c r="L242" s="5">
        <f>K242*0.08</f>
        <v/>
      </c>
      <c r="M242" s="5">
        <f>K242+L242</f>
        <v/>
      </c>
      <c r="N242" s="4" t="n">
        <v>13384</v>
      </c>
      <c r="O242" s="5">
        <f>(E242*N242)*1.35*1.05*1.03*1.08</f>
        <v/>
      </c>
      <c r="P242" s="4" t="n">
        <v>13384</v>
      </c>
      <c r="Q242" s="5">
        <f>(E242*P242)*1.35*1.05*1.03*1.08</f>
        <v/>
      </c>
      <c r="R242" s="4" t="n">
        <v>13384</v>
      </c>
      <c r="S242" s="5">
        <f>(E242*R242)*1.35*1.05*1.03*1.08</f>
        <v/>
      </c>
      <c r="T242" s="4" t="n">
        <v>13384</v>
      </c>
      <c r="U242" s="5">
        <f>(E242*T242)*1.35*1.05*1.03*1.08</f>
        <v/>
      </c>
      <c r="V242" s="4">
        <f>F242+N242+P242+R242+T242</f>
        <v/>
      </c>
      <c r="W242" s="5">
        <f>M242+O242+Q242+S242+U242</f>
        <v/>
      </c>
    </row>
    <row r="243">
      <c r="A243" t="inlineStr">
        <is>
          <t>TTGP</t>
        </is>
      </c>
      <c r="B243" t="inlineStr">
        <is>
          <t>Network Administrator IV</t>
        </is>
      </c>
      <c r="C243" t="inlineStr">
        <is>
          <t>Non-SCA</t>
        </is>
      </c>
      <c r="D243" t="inlineStr">
        <is>
          <t>Exempt</t>
        </is>
      </c>
      <c r="E243" s="5" t="n">
        <v>80</v>
      </c>
      <c r="F243" s="4" t="n">
        <v>200760</v>
      </c>
      <c r="G243" s="5">
        <f>E243*F243</f>
        <v/>
      </c>
      <c r="H243" s="5">
        <f>G243*0.35</f>
        <v/>
      </c>
      <c r="I243" s="5">
        <f>(G243+H243)*0.05</f>
        <v/>
      </c>
      <c r="J243" s="5">
        <f>(G243+H243+I243)*0.03</f>
        <v/>
      </c>
      <c r="K243" s="5">
        <f>G243+H243+I243+J243</f>
        <v/>
      </c>
      <c r="L243" s="5">
        <f>K243*0.08</f>
        <v/>
      </c>
      <c r="M243" s="5">
        <f>K243+L243</f>
        <v/>
      </c>
      <c r="N243" s="4" t="n">
        <v>40152</v>
      </c>
      <c r="O243" s="5">
        <f>(E243*N243)*1.35*1.05*1.03*1.08</f>
        <v/>
      </c>
      <c r="P243" s="4" t="n">
        <v>40152</v>
      </c>
      <c r="Q243" s="5">
        <f>(E243*P243)*1.35*1.05*1.03*1.08</f>
        <v/>
      </c>
      <c r="R243" s="4" t="n">
        <v>40152</v>
      </c>
      <c r="S243" s="5">
        <f>(E243*R243)*1.35*1.05*1.03*1.08</f>
        <v/>
      </c>
      <c r="T243" s="4" t="n">
        <v>40152</v>
      </c>
      <c r="U243" s="5">
        <f>(E243*T243)*1.35*1.05*1.03*1.08</f>
        <v/>
      </c>
      <c r="V243" s="4">
        <f>F243+N243+P243+R243+T243</f>
        <v/>
      </c>
      <c r="W243" s="5">
        <f>M243+O243+Q243+S243+U243</f>
        <v/>
      </c>
    </row>
    <row r="244">
      <c r="A244" t="inlineStr">
        <is>
          <t>TTGP</t>
        </is>
      </c>
      <c r="B244" t="inlineStr">
        <is>
          <t>Network Administrator V</t>
        </is>
      </c>
      <c r="C244" t="inlineStr">
        <is>
          <t>Non-SCA</t>
        </is>
      </c>
      <c r="D244" t="inlineStr">
        <is>
          <t>Exempt</t>
        </is>
      </c>
      <c r="E244" s="5" t="n">
        <v>80</v>
      </c>
      <c r="F244" s="4" t="n">
        <v>38240</v>
      </c>
      <c r="G244" s="5">
        <f>E244*F244</f>
        <v/>
      </c>
      <c r="H244" s="5">
        <f>G244*0.35</f>
        <v/>
      </c>
      <c r="I244" s="5">
        <f>(G244+H244)*0.05</f>
        <v/>
      </c>
      <c r="J244" s="5">
        <f>(G244+H244+I244)*0.03</f>
        <v/>
      </c>
      <c r="K244" s="5">
        <f>G244+H244+I244+J244</f>
        <v/>
      </c>
      <c r="L244" s="5">
        <f>K244*0.08</f>
        <v/>
      </c>
      <c r="M244" s="5">
        <f>K244+L244</f>
        <v/>
      </c>
      <c r="N244" s="4" t="n">
        <v>7648</v>
      </c>
      <c r="O244" s="5">
        <f>(E244*N244)*1.35*1.05*1.03*1.08</f>
        <v/>
      </c>
      <c r="P244" s="4" t="n">
        <v>7648</v>
      </c>
      <c r="Q244" s="5">
        <f>(E244*P244)*1.35*1.05*1.03*1.08</f>
        <v/>
      </c>
      <c r="R244" s="4" t="n">
        <v>7648</v>
      </c>
      <c r="S244" s="5">
        <f>(E244*R244)*1.35*1.05*1.03*1.08</f>
        <v/>
      </c>
      <c r="T244" s="4" t="n">
        <v>7648</v>
      </c>
      <c r="U244" s="5">
        <f>(E244*T244)*1.35*1.05*1.03*1.08</f>
        <v/>
      </c>
      <c r="V244" s="4">
        <f>F244+N244+P244+R244+T244</f>
        <v/>
      </c>
      <c r="W244" s="5">
        <f>M244+O244+Q244+S244+U244</f>
        <v/>
      </c>
    </row>
    <row r="245">
      <c r="A245" t="inlineStr">
        <is>
          <t>TTGP</t>
        </is>
      </c>
      <c r="B245" t="inlineStr">
        <is>
          <t>Engineering Technician III</t>
        </is>
      </c>
      <c r="C245" t="inlineStr">
        <is>
          <t>SCA</t>
        </is>
      </c>
      <c r="D245" t="inlineStr">
        <is>
          <t>CBA</t>
        </is>
      </c>
      <c r="E245" s="5" t="n">
        <v>80</v>
      </c>
      <c r="F245" s="4" t="n">
        <v>66920</v>
      </c>
      <c r="G245" s="5">
        <f>E245*F245</f>
        <v/>
      </c>
      <c r="H245" s="5">
        <f>G245*0.35</f>
        <v/>
      </c>
      <c r="I245" s="5">
        <f>(G245+H245)*0.05</f>
        <v/>
      </c>
      <c r="J245" s="5">
        <f>(G245+H245+I245)*0.03</f>
        <v/>
      </c>
      <c r="K245" s="5">
        <f>G245+H245+I245+J245</f>
        <v/>
      </c>
      <c r="L245" s="5">
        <f>K245*0.08</f>
        <v/>
      </c>
      <c r="M245" s="5">
        <f>K245+L245</f>
        <v/>
      </c>
      <c r="N245" s="4" t="n">
        <v>13384</v>
      </c>
      <c r="O245" s="5">
        <f>(E245*N245)*1.35*1.05*1.03*1.08</f>
        <v/>
      </c>
      <c r="P245" s="4" t="n">
        <v>13384</v>
      </c>
      <c r="Q245" s="5">
        <f>(E245*P245)*1.35*1.05*1.03*1.08</f>
        <v/>
      </c>
      <c r="R245" s="4" t="n">
        <v>13384</v>
      </c>
      <c r="S245" s="5">
        <f>(E245*R245)*1.35*1.05*1.03*1.08</f>
        <v/>
      </c>
      <c r="T245" s="4" t="n">
        <v>13384</v>
      </c>
      <c r="U245" s="5">
        <f>(E245*T245)*1.35*1.05*1.03*1.08</f>
        <v/>
      </c>
      <c r="V245" s="4">
        <f>F245+N245+P245+R245+T245</f>
        <v/>
      </c>
      <c r="W245" s="5">
        <f>M245+O245+Q245+S245+U245</f>
        <v/>
      </c>
    </row>
    <row r="246">
      <c r="A246" t="inlineStr">
        <is>
          <t>Yuma</t>
        </is>
      </c>
      <c r="B246" t="inlineStr">
        <is>
          <t>Site Manager</t>
        </is>
      </c>
      <c r="C246" t="inlineStr">
        <is>
          <t>Non-SCA</t>
        </is>
      </c>
      <c r="D246" t="inlineStr">
        <is>
          <t>Exempt</t>
        </is>
      </c>
      <c r="E246" s="5" t="n">
        <v>95</v>
      </c>
      <c r="F246" s="4" t="n">
        <v>9560</v>
      </c>
      <c r="G246" s="5">
        <f>E246*F246</f>
        <v/>
      </c>
      <c r="H246" s="5">
        <f>G246*0.35</f>
        <v/>
      </c>
      <c r="I246" s="5">
        <f>(G246+H246)*0.05</f>
        <v/>
      </c>
      <c r="J246" s="5">
        <f>(G246+H246+I246)*0.03</f>
        <v/>
      </c>
      <c r="K246" s="5">
        <f>G246+H246+I246+J246</f>
        <v/>
      </c>
      <c r="L246" s="5">
        <f>K246*0.08</f>
        <v/>
      </c>
      <c r="M246" s="5">
        <f>K246+L246</f>
        <v/>
      </c>
      <c r="N246" s="4" t="n">
        <v>1912</v>
      </c>
      <c r="O246" s="5">
        <f>(E246*N246)*1.35*1.05*1.03*1.08</f>
        <v/>
      </c>
      <c r="P246" s="4" t="n">
        <v>1912</v>
      </c>
      <c r="Q246" s="5">
        <f>(E246*P246)*1.35*1.05*1.03*1.08</f>
        <v/>
      </c>
      <c r="R246" s="4" t="n">
        <v>1912</v>
      </c>
      <c r="S246" s="5">
        <f>(E246*R246)*1.35*1.05*1.03*1.08</f>
        <v/>
      </c>
      <c r="T246" s="4" t="n">
        <v>1912</v>
      </c>
      <c r="U246" s="5">
        <f>(E246*T246)*1.35*1.05*1.03*1.08</f>
        <v/>
      </c>
      <c r="V246" s="4">
        <f>F246+N246+P246+R246+T246</f>
        <v/>
      </c>
      <c r="W246" s="5">
        <f>M246+O246+Q246+S246+U246</f>
        <v/>
      </c>
    </row>
    <row r="247">
      <c r="A247" t="inlineStr">
        <is>
          <t>Yuma</t>
        </is>
      </c>
      <c r="B247" t="inlineStr">
        <is>
          <t>Mission Coordinator</t>
        </is>
      </c>
      <c r="C247" t="inlineStr">
        <is>
          <t>Non-SCA</t>
        </is>
      </c>
      <c r="D247" t="inlineStr">
        <is>
          <t>Exempt</t>
        </is>
      </c>
      <c r="E247" s="5" t="n">
        <v>85</v>
      </c>
      <c r="F247" s="4" t="n">
        <v>19120</v>
      </c>
      <c r="G247" s="5">
        <f>E247*F247</f>
        <v/>
      </c>
      <c r="H247" s="5">
        <f>G247*0.35</f>
        <v/>
      </c>
      <c r="I247" s="5">
        <f>(G247+H247)*0.05</f>
        <v/>
      </c>
      <c r="J247" s="5">
        <f>(G247+H247+I247)*0.03</f>
        <v/>
      </c>
      <c r="K247" s="5">
        <f>G247+H247+I247+J247</f>
        <v/>
      </c>
      <c r="L247" s="5">
        <f>K247*0.08</f>
        <v/>
      </c>
      <c r="M247" s="5">
        <f>K247+L247</f>
        <v/>
      </c>
      <c r="N247" s="4" t="n">
        <v>3824</v>
      </c>
      <c r="O247" s="5">
        <f>(E247*N247)*1.35*1.05*1.03*1.08</f>
        <v/>
      </c>
      <c r="P247" s="4" t="n">
        <v>3824</v>
      </c>
      <c r="Q247" s="5">
        <f>(E247*P247)*1.35*1.05*1.03*1.08</f>
        <v/>
      </c>
      <c r="R247" s="4" t="n">
        <v>3824</v>
      </c>
      <c r="S247" s="5">
        <f>(E247*R247)*1.35*1.05*1.03*1.08</f>
        <v/>
      </c>
      <c r="T247" s="4" t="n">
        <v>3824</v>
      </c>
      <c r="U247" s="5">
        <f>(E247*T247)*1.35*1.05*1.03*1.08</f>
        <v/>
      </c>
      <c r="V247" s="4">
        <f>F247+N247+P247+R247+T247</f>
        <v/>
      </c>
      <c r="W247" s="5">
        <f>M247+O247+Q247+S247+U247</f>
        <v/>
      </c>
    </row>
    <row r="248">
      <c r="A248" t="inlineStr">
        <is>
          <t>Yuma</t>
        </is>
      </c>
      <c r="B248" t="inlineStr">
        <is>
          <t>Mission Coordinator, Senior</t>
        </is>
      </c>
      <c r="C248" t="inlineStr">
        <is>
          <t>Non-SCA</t>
        </is>
      </c>
      <c r="D248" t="inlineStr">
        <is>
          <t>Exempt</t>
        </is>
      </c>
      <c r="E248" s="5" t="n">
        <v>95</v>
      </c>
      <c r="F248" s="4" t="n">
        <v>9560</v>
      </c>
      <c r="G248" s="5">
        <f>E248*F248</f>
        <v/>
      </c>
      <c r="H248" s="5">
        <f>G248*0.35</f>
        <v/>
      </c>
      <c r="I248" s="5">
        <f>(G248+H248)*0.05</f>
        <v/>
      </c>
      <c r="J248" s="5">
        <f>(G248+H248+I248)*0.03</f>
        <v/>
      </c>
      <c r="K248" s="5">
        <f>G248+H248+I248+J248</f>
        <v/>
      </c>
      <c r="L248" s="5">
        <f>K248*0.08</f>
        <v/>
      </c>
      <c r="M248" s="5">
        <f>K248+L248</f>
        <v/>
      </c>
      <c r="N248" s="4" t="n">
        <v>1912</v>
      </c>
      <c r="O248" s="5">
        <f>(E248*N248)*1.35*1.05*1.03*1.08</f>
        <v/>
      </c>
      <c r="P248" s="4" t="n">
        <v>1912</v>
      </c>
      <c r="Q248" s="5">
        <f>(E248*P248)*1.35*1.05*1.03*1.08</f>
        <v/>
      </c>
      <c r="R248" s="4" t="n">
        <v>1912</v>
      </c>
      <c r="S248" s="5">
        <f>(E248*R248)*1.35*1.05*1.03*1.08</f>
        <v/>
      </c>
      <c r="T248" s="4" t="n">
        <v>1912</v>
      </c>
      <c r="U248" s="5">
        <f>(E248*T248)*1.35*1.05*1.03*1.08</f>
        <v/>
      </c>
      <c r="V248" s="4">
        <f>F248+N248+P248+R248+T248</f>
        <v/>
      </c>
      <c r="W248" s="5">
        <f>M248+O248+Q248+S248+U248</f>
        <v/>
      </c>
    </row>
    <row r="249">
      <c r="A249" t="inlineStr">
        <is>
          <t>Yuma</t>
        </is>
      </c>
      <c r="B249" t="inlineStr">
        <is>
          <t>Computer Operator III</t>
        </is>
      </c>
      <c r="C249" t="inlineStr">
        <is>
          <t>SCA</t>
        </is>
      </c>
      <c r="D249" t="inlineStr">
        <is>
          <t>CBA</t>
        </is>
      </c>
      <c r="E249" s="5" t="n">
        <v>25.06</v>
      </c>
      <c r="F249" s="4" t="n">
        <v>28680</v>
      </c>
      <c r="G249" s="5">
        <f>E249*F249</f>
        <v/>
      </c>
      <c r="H249" s="5">
        <f>G249*0.35</f>
        <v/>
      </c>
      <c r="I249" s="5">
        <f>(G249+H249)*0.05</f>
        <v/>
      </c>
      <c r="J249" s="5">
        <f>(G249+H249+I249)*0.03</f>
        <v/>
      </c>
      <c r="K249" s="5">
        <f>G249+H249+I249+J249</f>
        <v/>
      </c>
      <c r="L249" s="5">
        <f>K249*0.08</f>
        <v/>
      </c>
      <c r="M249" s="5">
        <f>K249+L249</f>
        <v/>
      </c>
      <c r="N249" s="4" t="n">
        <v>5736</v>
      </c>
      <c r="O249" s="5">
        <f>(E249*N249)*1.35*1.05*1.03*1.08</f>
        <v/>
      </c>
      <c r="P249" s="4" t="n">
        <v>5736</v>
      </c>
      <c r="Q249" s="5">
        <f>(E249*P249)*1.35*1.05*1.03*1.08</f>
        <v/>
      </c>
      <c r="R249" s="4" t="n">
        <v>5736</v>
      </c>
      <c r="S249" s="5">
        <f>(E249*R249)*1.35*1.05*1.03*1.08</f>
        <v/>
      </c>
      <c r="T249" s="4" t="n">
        <v>5736</v>
      </c>
      <c r="U249" s="5">
        <f>(E249*T249)*1.35*1.05*1.03*1.08</f>
        <v/>
      </c>
      <c r="V249" s="4">
        <f>F249+N249+P249+R249+T249</f>
        <v/>
      </c>
      <c r="W249" s="5">
        <f>M249+O249+Q249+S249+U249</f>
        <v/>
      </c>
    </row>
    <row r="250">
      <c r="A250" t="inlineStr">
        <is>
          <t>Yuma</t>
        </is>
      </c>
      <c r="B250" t="inlineStr">
        <is>
          <t>Computer Operator V</t>
        </is>
      </c>
      <c r="C250" t="inlineStr">
        <is>
          <t>SCA</t>
        </is>
      </c>
      <c r="D250" t="inlineStr">
        <is>
          <t>CBA</t>
        </is>
      </c>
      <c r="E250" s="5" t="n">
        <v>29.73</v>
      </c>
      <c r="F250" s="4" t="n">
        <v>9560</v>
      </c>
      <c r="G250" s="5">
        <f>E250*F250</f>
        <v/>
      </c>
      <c r="H250" s="5">
        <f>G250*0.35</f>
        <v/>
      </c>
      <c r="I250" s="5">
        <f>(G250+H250)*0.05</f>
        <v/>
      </c>
      <c r="J250" s="5">
        <f>(G250+H250+I250)*0.03</f>
        <v/>
      </c>
      <c r="K250" s="5">
        <f>G250+H250+I250+J250</f>
        <v/>
      </c>
      <c r="L250" s="5">
        <f>K250*0.08</f>
        <v/>
      </c>
      <c r="M250" s="5">
        <f>K250+L250</f>
        <v/>
      </c>
      <c r="N250" s="4" t="n">
        <v>1912</v>
      </c>
      <c r="O250" s="5">
        <f>(E250*N250)*1.35*1.05*1.03*1.08</f>
        <v/>
      </c>
      <c r="P250" s="4" t="n">
        <v>1912</v>
      </c>
      <c r="Q250" s="5">
        <f>(E250*P250)*1.35*1.05*1.03*1.08</f>
        <v/>
      </c>
      <c r="R250" s="4" t="n">
        <v>1912</v>
      </c>
      <c r="S250" s="5">
        <f>(E250*R250)*1.35*1.05*1.03*1.08</f>
        <v/>
      </c>
      <c r="T250" s="4" t="n">
        <v>1912</v>
      </c>
      <c r="U250" s="5">
        <f>(E250*T250)*1.35*1.05*1.03*1.08</f>
        <v/>
      </c>
      <c r="V250" s="4">
        <f>F250+N250+P250+R250+T250</f>
        <v/>
      </c>
      <c r="W250" s="5">
        <f>M250+O250+Q250+S250+U250</f>
        <v/>
      </c>
    </row>
    <row r="251">
      <c r="A251" t="inlineStr">
        <is>
          <t>Yuma</t>
        </is>
      </c>
      <c r="B251" t="inlineStr">
        <is>
          <t>Tactical Data Link Analyst</t>
        </is>
      </c>
      <c r="C251" t="inlineStr">
        <is>
          <t>Non-SCA</t>
        </is>
      </c>
      <c r="D251" t="inlineStr">
        <is>
          <t>Exempt</t>
        </is>
      </c>
      <c r="E251" s="5" t="n">
        <v>75</v>
      </c>
      <c r="F251" s="4" t="n">
        <v>9560</v>
      </c>
      <c r="G251" s="5">
        <f>E251*F251</f>
        <v/>
      </c>
      <c r="H251" s="5">
        <f>G251*0.35</f>
        <v/>
      </c>
      <c r="I251" s="5">
        <f>(G251+H251)*0.05</f>
        <v/>
      </c>
      <c r="J251" s="5">
        <f>(G251+H251+I251)*0.03</f>
        <v/>
      </c>
      <c r="K251" s="5">
        <f>G251+H251+I251+J251</f>
        <v/>
      </c>
      <c r="L251" s="5">
        <f>K251*0.08</f>
        <v/>
      </c>
      <c r="M251" s="5">
        <f>K251+L251</f>
        <v/>
      </c>
      <c r="N251" s="4" t="n">
        <v>1912</v>
      </c>
      <c r="O251" s="5">
        <f>(E251*N251)*1.35*1.05*1.03*1.08</f>
        <v/>
      </c>
      <c r="P251" s="4" t="n">
        <v>1912</v>
      </c>
      <c r="Q251" s="5">
        <f>(E251*P251)*1.35*1.05*1.03*1.08</f>
        <v/>
      </c>
      <c r="R251" s="4" t="n">
        <v>1912</v>
      </c>
      <c r="S251" s="5">
        <f>(E251*R251)*1.35*1.05*1.03*1.08</f>
        <v/>
      </c>
      <c r="T251" s="4" t="n">
        <v>1912</v>
      </c>
      <c r="U251" s="5">
        <f>(E251*T251)*1.35*1.05*1.03*1.08</f>
        <v/>
      </c>
      <c r="V251" s="4">
        <f>F251+N251+P251+R251+T251</f>
        <v/>
      </c>
      <c r="W251" s="5">
        <f>M251+O251+Q251+S251+U251</f>
        <v/>
      </c>
    </row>
    <row r="252">
      <c r="A252" t="inlineStr">
        <is>
          <t>Yuma</t>
        </is>
      </c>
      <c r="B252" t="inlineStr">
        <is>
          <t>Engineering Technician IV</t>
        </is>
      </c>
      <c r="C252" t="inlineStr">
        <is>
          <t>SCA</t>
        </is>
      </c>
      <c r="D252" t="inlineStr">
        <is>
          <t>SCLS</t>
        </is>
      </c>
      <c r="E252" s="5" t="n">
        <v>26.87</v>
      </c>
      <c r="F252" s="4" t="n">
        <v>28680</v>
      </c>
      <c r="G252" s="5">
        <f>E252*F252</f>
        <v/>
      </c>
      <c r="H252" s="5">
        <f>G252*0.35</f>
        <v/>
      </c>
      <c r="I252" s="5">
        <f>(G252+H252)*0.05</f>
        <v/>
      </c>
      <c r="J252" s="5">
        <f>(G252+H252+I252)*0.03</f>
        <v/>
      </c>
      <c r="K252" s="5">
        <f>G252+H252+I252+J252</f>
        <v/>
      </c>
      <c r="L252" s="5">
        <f>K252*0.08</f>
        <v/>
      </c>
      <c r="M252" s="5">
        <f>K252+L252</f>
        <v/>
      </c>
      <c r="N252" s="4" t="n">
        <v>5736</v>
      </c>
      <c r="O252" s="5">
        <f>(E252*N252)*1.35*1.05*1.03*1.08</f>
        <v/>
      </c>
      <c r="P252" s="4" t="n">
        <v>5736</v>
      </c>
      <c r="Q252" s="5">
        <f>(E252*P252)*1.35*1.05*1.03*1.08</f>
        <v/>
      </c>
      <c r="R252" s="4" t="n">
        <v>5736</v>
      </c>
      <c r="S252" s="5">
        <f>(E252*R252)*1.35*1.05*1.03*1.08</f>
        <v/>
      </c>
      <c r="T252" s="4" t="n">
        <v>5736</v>
      </c>
      <c r="U252" s="5">
        <f>(E252*T252)*1.35*1.05*1.03*1.08</f>
        <v/>
      </c>
      <c r="V252" s="4">
        <f>F252+N252+P252+R252+T252</f>
        <v/>
      </c>
      <c r="W252" s="5">
        <f>M252+O252+Q252+S252+U252</f>
        <v/>
      </c>
    </row>
    <row r="253">
      <c r="A253" t="inlineStr">
        <is>
          <t>Yuma</t>
        </is>
      </c>
      <c r="B253" t="inlineStr">
        <is>
          <t>Electronics Technician II</t>
        </is>
      </c>
      <c r="C253" t="inlineStr">
        <is>
          <t>SCA</t>
        </is>
      </c>
      <c r="D253" t="inlineStr">
        <is>
          <t>CBA</t>
        </is>
      </c>
      <c r="E253" s="5" t="n">
        <v>32.67</v>
      </c>
      <c r="F253" s="4" t="n">
        <v>124280</v>
      </c>
      <c r="G253" s="5">
        <f>E253*F253</f>
        <v/>
      </c>
      <c r="H253" s="5">
        <f>G253*0.35</f>
        <v/>
      </c>
      <c r="I253" s="5">
        <f>(G253+H253)*0.05</f>
        <v/>
      </c>
      <c r="J253" s="5">
        <f>(G253+H253+I253)*0.03</f>
        <v/>
      </c>
      <c r="K253" s="5">
        <f>G253+H253+I253+J253</f>
        <v/>
      </c>
      <c r="L253" s="5">
        <f>K253*0.08</f>
        <v/>
      </c>
      <c r="M253" s="5">
        <f>K253+L253</f>
        <v/>
      </c>
      <c r="N253" s="4" t="n">
        <v>24856</v>
      </c>
      <c r="O253" s="5">
        <f>(E253*N253)*1.35*1.05*1.03*1.08</f>
        <v/>
      </c>
      <c r="P253" s="4" t="n">
        <v>24856</v>
      </c>
      <c r="Q253" s="5">
        <f>(E253*P253)*1.35*1.05*1.03*1.08</f>
        <v/>
      </c>
      <c r="R253" s="4" t="n">
        <v>24856</v>
      </c>
      <c r="S253" s="5">
        <f>(E253*R253)*1.35*1.05*1.03*1.08</f>
        <v/>
      </c>
      <c r="T253" s="4" t="n">
        <v>24856</v>
      </c>
      <c r="U253" s="5">
        <f>(E253*T253)*1.35*1.05*1.03*1.08</f>
        <v/>
      </c>
      <c r="V253" s="4">
        <f>F253+N253+P253+R253+T253</f>
        <v/>
      </c>
      <c r="W253" s="5">
        <f>M253+O253+Q253+S253+U253</f>
        <v/>
      </c>
    </row>
    <row r="254">
      <c r="A254" t="inlineStr">
        <is>
          <t>Yuma</t>
        </is>
      </c>
      <c r="B254" t="inlineStr">
        <is>
          <t>Electronics Technician III</t>
        </is>
      </c>
      <c r="C254" t="inlineStr">
        <is>
          <t>SCA</t>
        </is>
      </c>
      <c r="D254" t="inlineStr">
        <is>
          <t>CBA</t>
        </is>
      </c>
      <c r="E254" s="5" t="n">
        <v>34.78</v>
      </c>
      <c r="F254" s="4" t="n">
        <v>152960</v>
      </c>
      <c r="G254" s="5">
        <f>E254*F254</f>
        <v/>
      </c>
      <c r="H254" s="5">
        <f>G254*0.35</f>
        <v/>
      </c>
      <c r="I254" s="5">
        <f>(G254+H254)*0.05</f>
        <v/>
      </c>
      <c r="J254" s="5">
        <f>(G254+H254+I254)*0.03</f>
        <v/>
      </c>
      <c r="K254" s="5">
        <f>G254+H254+I254+J254</f>
        <v/>
      </c>
      <c r="L254" s="5">
        <f>K254*0.08</f>
        <v/>
      </c>
      <c r="M254" s="5">
        <f>K254+L254</f>
        <v/>
      </c>
      <c r="N254" s="4" t="n">
        <v>30592</v>
      </c>
      <c r="O254" s="5">
        <f>(E254*N254)*1.35*1.05*1.03*1.08</f>
        <v/>
      </c>
      <c r="P254" s="4" t="n">
        <v>30592</v>
      </c>
      <c r="Q254" s="5">
        <f>(E254*P254)*1.35*1.05*1.03*1.08</f>
        <v/>
      </c>
      <c r="R254" s="4" t="n">
        <v>30592</v>
      </c>
      <c r="S254" s="5">
        <f>(E254*R254)*1.35*1.05*1.03*1.08</f>
        <v/>
      </c>
      <c r="T254" s="4" t="n">
        <v>30592</v>
      </c>
      <c r="U254" s="5">
        <f>(E254*T254)*1.35*1.05*1.03*1.08</f>
        <v/>
      </c>
      <c r="V254" s="4">
        <f>F254+N254+P254+R254+T254</f>
        <v/>
      </c>
      <c r="W254" s="5">
        <f>M254+O254+Q254+S254+U254</f>
        <v/>
      </c>
    </row>
    <row r="255">
      <c r="A255" t="inlineStr">
        <is>
          <t>Yuma</t>
        </is>
      </c>
      <c r="B255" t="inlineStr">
        <is>
          <t>Engineering Technician VI</t>
        </is>
      </c>
      <c r="C255" t="inlineStr">
        <is>
          <t>SCA</t>
        </is>
      </c>
      <c r="D255" t="inlineStr">
        <is>
          <t>SCLS</t>
        </is>
      </c>
      <c r="E255" s="5" t="n">
        <v>39.75</v>
      </c>
      <c r="F255" s="4" t="n">
        <v>57360</v>
      </c>
      <c r="G255" s="5">
        <f>E255*F255</f>
        <v/>
      </c>
      <c r="H255" s="5">
        <f>G255*0.35</f>
        <v/>
      </c>
      <c r="I255" s="5">
        <f>(G255+H255)*0.05</f>
        <v/>
      </c>
      <c r="J255" s="5">
        <f>(G255+H255+I255)*0.03</f>
        <v/>
      </c>
      <c r="K255" s="5">
        <f>G255+H255+I255+J255</f>
        <v/>
      </c>
      <c r="L255" s="5">
        <f>K255*0.08</f>
        <v/>
      </c>
      <c r="M255" s="5">
        <f>K255+L255</f>
        <v/>
      </c>
      <c r="N255" s="4" t="n">
        <v>11472</v>
      </c>
      <c r="O255" s="5">
        <f>(E255*N255)*1.35*1.05*1.03*1.08</f>
        <v/>
      </c>
      <c r="P255" s="4" t="n">
        <v>11472</v>
      </c>
      <c r="Q255" s="5">
        <f>(E255*P255)*1.35*1.05*1.03*1.08</f>
        <v/>
      </c>
      <c r="R255" s="4" t="n">
        <v>11472</v>
      </c>
      <c r="S255" s="5">
        <f>(E255*R255)*1.35*1.05*1.03*1.08</f>
        <v/>
      </c>
      <c r="T255" s="4" t="n">
        <v>11472</v>
      </c>
      <c r="U255" s="5">
        <f>(E255*T255)*1.35*1.05*1.03*1.08</f>
        <v/>
      </c>
      <c r="V255" s="4">
        <f>F255+N255+P255+R255+T255</f>
        <v/>
      </c>
      <c r="W255" s="5">
        <f>M255+O255+Q255+S255+U255</f>
        <v/>
      </c>
    </row>
    <row r="256">
      <c r="A256" t="inlineStr">
        <is>
          <t>Yuma</t>
        </is>
      </c>
      <c r="B256" t="inlineStr">
        <is>
          <t>Electronics Technician I</t>
        </is>
      </c>
      <c r="C256" t="inlineStr">
        <is>
          <t>SCA</t>
        </is>
      </c>
      <c r="D256" t="inlineStr">
        <is>
          <t>CBA</t>
        </is>
      </c>
      <c r="E256" s="5" t="n">
        <v>29.19</v>
      </c>
      <c r="F256" s="4" t="n">
        <v>28680</v>
      </c>
      <c r="G256" s="5">
        <f>E256*F256</f>
        <v/>
      </c>
      <c r="H256" s="5">
        <f>G256*0.35</f>
        <v/>
      </c>
      <c r="I256" s="5">
        <f>(G256+H256)*0.05</f>
        <v/>
      </c>
      <c r="J256" s="5">
        <f>(G256+H256+I256)*0.03</f>
        <v/>
      </c>
      <c r="K256" s="5">
        <f>G256+H256+I256+J256</f>
        <v/>
      </c>
      <c r="L256" s="5">
        <f>K256*0.08</f>
        <v/>
      </c>
      <c r="M256" s="5">
        <f>K256+L256</f>
        <v/>
      </c>
      <c r="N256" s="4" t="n">
        <v>5736</v>
      </c>
      <c r="O256" s="5">
        <f>(E256*N256)*1.35*1.05*1.03*1.08</f>
        <v/>
      </c>
      <c r="P256" s="4" t="n">
        <v>5736</v>
      </c>
      <c r="Q256" s="5">
        <f>(E256*P256)*1.35*1.05*1.03*1.08</f>
        <v/>
      </c>
      <c r="R256" s="4" t="n">
        <v>5736</v>
      </c>
      <c r="S256" s="5">
        <f>(E256*R256)*1.35*1.05*1.03*1.08</f>
        <v/>
      </c>
      <c r="T256" s="4" t="n">
        <v>5736</v>
      </c>
      <c r="U256" s="5">
        <f>(E256*T256)*1.35*1.05*1.03*1.08</f>
        <v/>
      </c>
      <c r="V256" s="4">
        <f>F256+N256+P256+R256+T256</f>
        <v/>
      </c>
      <c r="W256" s="5">
        <f>M256+O256+Q256+S256+U256</f>
        <v/>
      </c>
    </row>
    <row r="257">
      <c r="A257" t="inlineStr">
        <is>
          <t>Yuma</t>
        </is>
      </c>
      <c r="B257" t="inlineStr">
        <is>
          <t>Computer Systems Analyst II</t>
        </is>
      </c>
      <c r="C257" t="inlineStr">
        <is>
          <t>SCA</t>
        </is>
      </c>
      <c r="D257" t="inlineStr">
        <is>
          <t>CBA</t>
        </is>
      </c>
      <c r="E257" s="5" t="n">
        <v>75</v>
      </c>
      <c r="F257" s="4" t="n">
        <v>9560</v>
      </c>
      <c r="G257" s="5">
        <f>E257*F257</f>
        <v/>
      </c>
      <c r="H257" s="5">
        <f>G257*0.35</f>
        <v/>
      </c>
      <c r="I257" s="5">
        <f>(G257+H257)*0.05</f>
        <v/>
      </c>
      <c r="J257" s="5">
        <f>(G257+H257+I257)*0.03</f>
        <v/>
      </c>
      <c r="K257" s="5">
        <f>G257+H257+I257+J257</f>
        <v/>
      </c>
      <c r="L257" s="5">
        <f>K257*0.08</f>
        <v/>
      </c>
      <c r="M257" s="5">
        <f>K257+L257</f>
        <v/>
      </c>
      <c r="N257" s="4" t="n">
        <v>1912</v>
      </c>
      <c r="O257" s="5">
        <f>(E257*N257)*1.35*1.05*1.03*1.08</f>
        <v/>
      </c>
      <c r="P257" s="4" t="n">
        <v>1912</v>
      </c>
      <c r="Q257" s="5">
        <f>(E257*P257)*1.35*1.05*1.03*1.08</f>
        <v/>
      </c>
      <c r="R257" s="4" t="n">
        <v>1912</v>
      </c>
      <c r="S257" s="5">
        <f>(E257*R257)*1.35*1.05*1.03*1.08</f>
        <v/>
      </c>
      <c r="T257" s="4" t="n">
        <v>1912</v>
      </c>
      <c r="U257" s="5">
        <f>(E257*T257)*1.35*1.05*1.03*1.08</f>
        <v/>
      </c>
      <c r="V257" s="4">
        <f>F257+N257+P257+R257+T257</f>
        <v/>
      </c>
      <c r="W257" s="5">
        <f>M257+O257+Q257+S257+U257</f>
        <v/>
      </c>
    </row>
    <row r="258">
      <c r="A258" t="inlineStr">
        <is>
          <t>Yuma</t>
        </is>
      </c>
      <c r="B258" t="inlineStr">
        <is>
          <t>Computer Systems Analyst III</t>
        </is>
      </c>
      <c r="C258" t="inlineStr">
        <is>
          <t>SCA</t>
        </is>
      </c>
      <c r="D258" t="inlineStr">
        <is>
          <t>CBA</t>
        </is>
      </c>
      <c r="E258" s="5" t="n">
        <v>75</v>
      </c>
      <c r="F258" s="4" t="n">
        <v>9560</v>
      </c>
      <c r="G258" s="5">
        <f>E258*F258</f>
        <v/>
      </c>
      <c r="H258" s="5">
        <f>G258*0.35</f>
        <v/>
      </c>
      <c r="I258" s="5">
        <f>(G258+H258)*0.05</f>
        <v/>
      </c>
      <c r="J258" s="5">
        <f>(G258+H258+I258)*0.03</f>
        <v/>
      </c>
      <c r="K258" s="5">
        <f>G258+H258+I258+J258</f>
        <v/>
      </c>
      <c r="L258" s="5">
        <f>K258*0.08</f>
        <v/>
      </c>
      <c r="M258" s="5">
        <f>K258+L258</f>
        <v/>
      </c>
      <c r="N258" s="4" t="n">
        <v>1912</v>
      </c>
      <c r="O258" s="5">
        <f>(E258*N258)*1.35*1.05*1.03*1.08</f>
        <v/>
      </c>
      <c r="P258" s="4" t="n">
        <v>1912</v>
      </c>
      <c r="Q258" s="5">
        <f>(E258*P258)*1.35*1.05*1.03*1.08</f>
        <v/>
      </c>
      <c r="R258" s="4" t="n">
        <v>1912</v>
      </c>
      <c r="S258" s="5">
        <f>(E258*R258)*1.35*1.05*1.03*1.08</f>
        <v/>
      </c>
      <c r="T258" s="4" t="n">
        <v>1912</v>
      </c>
      <c r="U258" s="5">
        <f>(E258*T258)*1.35*1.05*1.03*1.08</f>
        <v/>
      </c>
      <c r="V258" s="4">
        <f>F258+N258+P258+R258+T258</f>
        <v/>
      </c>
      <c r="W258" s="5">
        <f>M258+O258+Q258+S258+U258</f>
        <v/>
      </c>
    </row>
    <row r="259">
      <c r="A259" t="inlineStr">
        <is>
          <t>Yuma</t>
        </is>
      </c>
      <c r="B259" t="inlineStr">
        <is>
          <t>General Maintenance Worker</t>
        </is>
      </c>
      <c r="C259" t="inlineStr">
        <is>
          <t>SCA</t>
        </is>
      </c>
      <c r="D259" t="inlineStr">
        <is>
          <t>CBA</t>
        </is>
      </c>
      <c r="E259" s="5" t="n">
        <v>19.36</v>
      </c>
      <c r="F259" s="4" t="n">
        <v>9560</v>
      </c>
      <c r="G259" s="5">
        <f>E259*F259</f>
        <v/>
      </c>
      <c r="H259" s="5">
        <f>G259*0.35</f>
        <v/>
      </c>
      <c r="I259" s="5">
        <f>(G259+H259)*0.05</f>
        <v/>
      </c>
      <c r="J259" s="5">
        <f>(G259+H259+I259)*0.03</f>
        <v/>
      </c>
      <c r="K259" s="5">
        <f>G259+H259+I259+J259</f>
        <v/>
      </c>
      <c r="L259" s="5">
        <f>K259*0.08</f>
        <v/>
      </c>
      <c r="M259" s="5">
        <f>K259+L259</f>
        <v/>
      </c>
      <c r="N259" s="4" t="n">
        <v>1912</v>
      </c>
      <c r="O259" s="5">
        <f>(E259*N259)*1.35*1.05*1.03*1.08</f>
        <v/>
      </c>
      <c r="P259" s="4" t="n">
        <v>1912</v>
      </c>
      <c r="Q259" s="5">
        <f>(E259*P259)*1.35*1.05*1.03*1.08</f>
        <v/>
      </c>
      <c r="R259" s="4" t="n">
        <v>1912</v>
      </c>
      <c r="S259" s="5">
        <f>(E259*R259)*1.35*1.05*1.03*1.08</f>
        <v/>
      </c>
      <c r="T259" s="4" t="n">
        <v>1912</v>
      </c>
      <c r="U259" s="5">
        <f>(E259*T259)*1.35*1.05*1.03*1.08</f>
        <v/>
      </c>
      <c r="V259" s="4">
        <f>F259+N259+P259+R259+T259</f>
        <v/>
      </c>
      <c r="W259" s="5">
        <f>M259+O259+Q259+S259+U259</f>
        <v/>
      </c>
    </row>
    <row r="260">
      <c r="A260" t="inlineStr">
        <is>
          <t>Yuma</t>
        </is>
      </c>
      <c r="B260" t="inlineStr">
        <is>
          <t>Generator Technician III</t>
        </is>
      </c>
      <c r="C260" t="inlineStr">
        <is>
          <t>Non-SCA</t>
        </is>
      </c>
      <c r="D260" t="inlineStr">
        <is>
          <t>Exempt</t>
        </is>
      </c>
      <c r="E260" s="5" t="n">
        <v>65</v>
      </c>
      <c r="F260" s="4" t="n">
        <v>9560</v>
      </c>
      <c r="G260" s="5">
        <f>E260*F260</f>
        <v/>
      </c>
      <c r="H260" s="5">
        <f>G260*0.35</f>
        <v/>
      </c>
      <c r="I260" s="5">
        <f>(G260+H260)*0.05</f>
        <v/>
      </c>
      <c r="J260" s="5">
        <f>(G260+H260+I260)*0.03</f>
        <v/>
      </c>
      <c r="K260" s="5">
        <f>G260+H260+I260+J260</f>
        <v/>
      </c>
      <c r="L260" s="5">
        <f>K260*0.08</f>
        <v/>
      </c>
      <c r="M260" s="5">
        <f>K260+L260</f>
        <v/>
      </c>
      <c r="N260" s="4" t="n">
        <v>1912</v>
      </c>
      <c r="O260" s="5">
        <f>(E260*N260)*1.35*1.05*1.03*1.08</f>
        <v/>
      </c>
      <c r="P260" s="4" t="n">
        <v>1912</v>
      </c>
      <c r="Q260" s="5">
        <f>(E260*P260)*1.35*1.05*1.03*1.08</f>
        <v/>
      </c>
      <c r="R260" s="4" t="n">
        <v>1912</v>
      </c>
      <c r="S260" s="5">
        <f>(E260*R260)*1.35*1.05*1.03*1.08</f>
        <v/>
      </c>
      <c r="T260" s="4" t="n">
        <v>1912</v>
      </c>
      <c r="U260" s="5">
        <f>(E260*T260)*1.35*1.05*1.03*1.08</f>
        <v/>
      </c>
      <c r="V260" s="4">
        <f>F260+N260+P260+R260+T260</f>
        <v/>
      </c>
      <c r="W260" s="5">
        <f>M260+O260+Q260+S260+U260</f>
        <v/>
      </c>
    </row>
    <row r="261">
      <c r="A261" t="inlineStr">
        <is>
          <t>Yuma</t>
        </is>
      </c>
      <c r="B261" t="inlineStr">
        <is>
          <t>Heating, Ventilation and Air Conditioning</t>
        </is>
      </c>
      <c r="C261" t="inlineStr">
        <is>
          <t>SCA</t>
        </is>
      </c>
      <c r="D261" t="inlineStr">
        <is>
          <t>SCLS</t>
        </is>
      </c>
      <c r="E261" s="5" t="n">
        <v>25.35</v>
      </c>
      <c r="F261" s="4" t="n">
        <v>9560</v>
      </c>
      <c r="G261" s="5">
        <f>E261*F261</f>
        <v/>
      </c>
      <c r="H261" s="5">
        <f>G261*0.35</f>
        <v/>
      </c>
      <c r="I261" s="5">
        <f>(G261+H261)*0.05</f>
        <v/>
      </c>
      <c r="J261" s="5">
        <f>(G261+H261+I261)*0.03</f>
        <v/>
      </c>
      <c r="K261" s="5">
        <f>G261+H261+I261+J261</f>
        <v/>
      </c>
      <c r="L261" s="5">
        <f>K261*0.08</f>
        <v/>
      </c>
      <c r="M261" s="5">
        <f>K261+L261</f>
        <v/>
      </c>
      <c r="N261" s="4" t="n">
        <v>1912</v>
      </c>
      <c r="O261" s="5">
        <f>(E261*N261)*1.35*1.05*1.03*1.08</f>
        <v/>
      </c>
      <c r="P261" s="4" t="n">
        <v>1912</v>
      </c>
      <c r="Q261" s="5">
        <f>(E261*P261)*1.35*1.05*1.03*1.08</f>
        <v/>
      </c>
      <c r="R261" s="4" t="n">
        <v>1912</v>
      </c>
      <c r="S261" s="5">
        <f>(E261*R261)*1.35*1.05*1.03*1.08</f>
        <v/>
      </c>
      <c r="T261" s="4" t="n">
        <v>1912</v>
      </c>
      <c r="U261" s="5">
        <f>(E261*T261)*1.35*1.05*1.03*1.08</f>
        <v/>
      </c>
      <c r="V261" s="4">
        <f>F261+N261+P261+R261+T261</f>
        <v/>
      </c>
      <c r="W261" s="5">
        <f>M261+O261+Q261+S261+U261</f>
        <v/>
      </c>
    </row>
    <row r="262">
      <c r="A262" t="inlineStr">
        <is>
          <t>Yuma</t>
        </is>
      </c>
      <c r="B262" t="inlineStr">
        <is>
          <t>Heavy Equipment Mechanic/Operator</t>
        </is>
      </c>
      <c r="C262" t="inlineStr">
        <is>
          <t>SCA</t>
        </is>
      </c>
      <c r="D262" t="inlineStr">
        <is>
          <t>CBA</t>
        </is>
      </c>
      <c r="E262" s="5" t="n">
        <v>31.6</v>
      </c>
      <c r="F262" s="4" t="n">
        <v>19120</v>
      </c>
      <c r="G262" s="5">
        <f>E262*F262</f>
        <v/>
      </c>
      <c r="H262" s="5">
        <f>G262*0.35</f>
        <v/>
      </c>
      <c r="I262" s="5">
        <f>(G262+H262)*0.05</f>
        <v/>
      </c>
      <c r="J262" s="5">
        <f>(G262+H262+I262)*0.03</f>
        <v/>
      </c>
      <c r="K262" s="5">
        <f>G262+H262+I262+J262</f>
        <v/>
      </c>
      <c r="L262" s="5">
        <f>K262*0.08</f>
        <v/>
      </c>
      <c r="M262" s="5">
        <f>K262+L262</f>
        <v/>
      </c>
      <c r="N262" s="4" t="n">
        <v>3824</v>
      </c>
      <c r="O262" s="5">
        <f>(E262*N262)*1.35*1.05*1.03*1.08</f>
        <v/>
      </c>
      <c r="P262" s="4" t="n">
        <v>3824</v>
      </c>
      <c r="Q262" s="5">
        <f>(E262*P262)*1.35*1.05*1.03*1.08</f>
        <v/>
      </c>
      <c r="R262" s="4" t="n">
        <v>3824</v>
      </c>
      <c r="S262" s="5">
        <f>(E262*R262)*1.35*1.05*1.03*1.08</f>
        <v/>
      </c>
      <c r="T262" s="4" t="n">
        <v>3824</v>
      </c>
      <c r="U262" s="5">
        <f>(E262*T262)*1.35*1.05*1.03*1.08</f>
        <v/>
      </c>
      <c r="V262" s="4">
        <f>F262+N262+P262+R262+T262</f>
        <v/>
      </c>
      <c r="W262" s="5">
        <f>M262+O262+Q262+S262+U262</f>
        <v/>
      </c>
    </row>
    <row r="263">
      <c r="A263" t="inlineStr">
        <is>
          <t>Yuma</t>
        </is>
      </c>
      <c r="B263" t="inlineStr">
        <is>
          <t>Maintenance Coordinator</t>
        </is>
      </c>
      <c r="C263" t="inlineStr">
        <is>
          <t>Non-SCA</t>
        </is>
      </c>
      <c r="D263" t="inlineStr">
        <is>
          <t>Exempt</t>
        </is>
      </c>
      <c r="E263" s="5" t="n">
        <v>80</v>
      </c>
      <c r="F263" s="4" t="n">
        <v>19120</v>
      </c>
      <c r="G263" s="5">
        <f>E263*F263</f>
        <v/>
      </c>
      <c r="H263" s="5">
        <f>G263*0.35</f>
        <v/>
      </c>
      <c r="I263" s="5">
        <f>(G263+H263)*0.05</f>
        <v/>
      </c>
      <c r="J263" s="5">
        <f>(G263+H263+I263)*0.03</f>
        <v/>
      </c>
      <c r="K263" s="5">
        <f>G263+H263+I263+J263</f>
        <v/>
      </c>
      <c r="L263" s="5">
        <f>K263*0.08</f>
        <v/>
      </c>
      <c r="M263" s="5">
        <f>K263+L263</f>
        <v/>
      </c>
      <c r="N263" s="4" t="n">
        <v>3824</v>
      </c>
      <c r="O263" s="5">
        <f>(E263*N263)*1.35*1.05*1.03*1.08</f>
        <v/>
      </c>
      <c r="P263" s="4" t="n">
        <v>3824</v>
      </c>
      <c r="Q263" s="5">
        <f>(E263*P263)*1.35*1.05*1.03*1.08</f>
        <v/>
      </c>
      <c r="R263" s="4" t="n">
        <v>3824</v>
      </c>
      <c r="S263" s="5">
        <f>(E263*R263)*1.35*1.05*1.03*1.08</f>
        <v/>
      </c>
      <c r="T263" s="4" t="n">
        <v>3824</v>
      </c>
      <c r="U263" s="5">
        <f>(E263*T263)*1.35*1.05*1.03*1.08</f>
        <v/>
      </c>
      <c r="V263" s="4">
        <f>F263+N263+P263+R263+T263</f>
        <v/>
      </c>
      <c r="W263" s="5">
        <f>M263+O263+Q263+S263+U263</f>
        <v/>
      </c>
    </row>
    <row r="264">
      <c r="A264" t="inlineStr">
        <is>
          <t>Yuma</t>
        </is>
      </c>
      <c r="B264" t="inlineStr">
        <is>
          <t>Logistician Analyst IV</t>
        </is>
      </c>
      <c r="C264" t="inlineStr">
        <is>
          <t>Non-SCA</t>
        </is>
      </c>
      <c r="D264" t="inlineStr">
        <is>
          <t>Exempt</t>
        </is>
      </c>
      <c r="E264" s="5" t="n">
        <v>75</v>
      </c>
      <c r="F264" s="4" t="n">
        <v>9560</v>
      </c>
      <c r="G264" s="5">
        <f>E264*F264</f>
        <v/>
      </c>
      <c r="H264" s="5">
        <f>G264*0.35</f>
        <v/>
      </c>
      <c r="I264" s="5">
        <f>(G264+H264)*0.05</f>
        <v/>
      </c>
      <c r="J264" s="5">
        <f>(G264+H264+I264)*0.03</f>
        <v/>
      </c>
      <c r="K264" s="5">
        <f>G264+H264+I264+J264</f>
        <v/>
      </c>
      <c r="L264" s="5">
        <f>K264*0.08</f>
        <v/>
      </c>
      <c r="M264" s="5">
        <f>K264+L264</f>
        <v/>
      </c>
      <c r="N264" s="4" t="n">
        <v>1912</v>
      </c>
      <c r="O264" s="5">
        <f>(E264*N264)*1.35*1.05*1.03*1.08</f>
        <v/>
      </c>
      <c r="P264" s="4" t="n">
        <v>1912</v>
      </c>
      <c r="Q264" s="5">
        <f>(E264*P264)*1.35*1.05*1.03*1.08</f>
        <v/>
      </c>
      <c r="R264" s="4" t="n">
        <v>1912</v>
      </c>
      <c r="S264" s="5">
        <f>(E264*R264)*1.35*1.05*1.03*1.08</f>
        <v/>
      </c>
      <c r="T264" s="4" t="n">
        <v>1912</v>
      </c>
      <c r="U264" s="5">
        <f>(E264*T264)*1.35*1.05*1.03*1.08</f>
        <v/>
      </c>
      <c r="V264" s="4">
        <f>F264+N264+P264+R264+T264</f>
        <v/>
      </c>
      <c r="W264" s="5">
        <f>M264+O264+Q264+S264+U264</f>
        <v/>
      </c>
    </row>
    <row r="265">
      <c r="A265" t="inlineStr">
        <is>
          <t>Yuma</t>
        </is>
      </c>
      <c r="B265" t="inlineStr">
        <is>
          <t>Supply Technician</t>
        </is>
      </c>
      <c r="C265" t="inlineStr">
        <is>
          <t>SCA</t>
        </is>
      </c>
      <c r="D265" t="inlineStr">
        <is>
          <t>CBA</t>
        </is>
      </c>
      <c r="E265" s="5" t="n">
        <v>28.25</v>
      </c>
      <c r="F265" s="4" t="n">
        <v>19120</v>
      </c>
      <c r="G265" s="5">
        <f>E265*F265</f>
        <v/>
      </c>
      <c r="H265" s="5">
        <f>G265*0.35</f>
        <v/>
      </c>
      <c r="I265" s="5">
        <f>(G265+H265)*0.05</f>
        <v/>
      </c>
      <c r="J265" s="5">
        <f>(G265+H265+I265)*0.03</f>
        <v/>
      </c>
      <c r="K265" s="5">
        <f>G265+H265+I265+J265</f>
        <v/>
      </c>
      <c r="L265" s="5">
        <f>K265*0.08</f>
        <v/>
      </c>
      <c r="M265" s="5">
        <f>K265+L265</f>
        <v/>
      </c>
      <c r="N265" s="4" t="n">
        <v>3824</v>
      </c>
      <c r="O265" s="5">
        <f>(E265*N265)*1.35*1.05*1.03*1.08</f>
        <v/>
      </c>
      <c r="P265" s="4" t="n">
        <v>3824</v>
      </c>
      <c r="Q265" s="5">
        <f>(E265*P265)*1.35*1.05*1.03*1.08</f>
        <v/>
      </c>
      <c r="R265" s="4" t="n">
        <v>3824</v>
      </c>
      <c r="S265" s="5">
        <f>(E265*R265)*1.35*1.05*1.03*1.08</f>
        <v/>
      </c>
      <c r="T265" s="4" t="n">
        <v>3824</v>
      </c>
      <c r="U265" s="5">
        <f>(E265*T265)*1.35*1.05*1.03*1.08</f>
        <v/>
      </c>
      <c r="V265" s="4">
        <f>F265+N265+P265+R265+T265</f>
        <v/>
      </c>
      <c r="W265" s="5">
        <f>M265+O265+Q265+S265+U265</f>
        <v/>
      </c>
    </row>
    <row r="266">
      <c r="A266" t="inlineStr">
        <is>
          <t>Yuma</t>
        </is>
      </c>
      <c r="B266" t="inlineStr">
        <is>
          <t>Security Coordinator</t>
        </is>
      </c>
      <c r="C266" t="inlineStr">
        <is>
          <t>Non-SCA</t>
        </is>
      </c>
      <c r="D266" t="inlineStr">
        <is>
          <t>Exempt</t>
        </is>
      </c>
      <c r="E266" s="5" t="n">
        <v>70</v>
      </c>
      <c r="F266" s="4" t="n">
        <v>38240</v>
      </c>
      <c r="G266" s="5">
        <f>E266*F266</f>
        <v/>
      </c>
      <c r="H266" s="5">
        <f>G266*0.35</f>
        <v/>
      </c>
      <c r="I266" s="5">
        <f>(G266+H266)*0.05</f>
        <v/>
      </c>
      <c r="J266" s="5">
        <f>(G266+H266+I266)*0.03</f>
        <v/>
      </c>
      <c r="K266" s="5">
        <f>G266+H266+I266+J266</f>
        <v/>
      </c>
      <c r="L266" s="5">
        <f>K266*0.08</f>
        <v/>
      </c>
      <c r="M266" s="5">
        <f>K266+L266</f>
        <v/>
      </c>
      <c r="N266" s="4" t="n">
        <v>7648</v>
      </c>
      <c r="O266" s="5">
        <f>(E266*N266)*1.35*1.05*1.03*1.08</f>
        <v/>
      </c>
      <c r="P266" s="4" t="n">
        <v>7648</v>
      </c>
      <c r="Q266" s="5">
        <f>(E266*P266)*1.35*1.05*1.03*1.08</f>
        <v/>
      </c>
      <c r="R266" s="4" t="n">
        <v>7648</v>
      </c>
      <c r="S266" s="5">
        <f>(E266*R266)*1.35*1.05*1.03*1.08</f>
        <v/>
      </c>
      <c r="T266" s="4" t="n">
        <v>7648</v>
      </c>
      <c r="U266" s="5">
        <f>(E266*T266)*1.35*1.05*1.03*1.08</f>
        <v/>
      </c>
      <c r="V266" s="4">
        <f>F266+N266+P266+R266+T266</f>
        <v/>
      </c>
      <c r="W266" s="5">
        <f>M266+O266+Q266+S266+U266</f>
        <v/>
      </c>
    </row>
    <row r="267">
      <c r="A267" t="inlineStr">
        <is>
          <t>Yuma</t>
        </is>
      </c>
      <c r="B267" t="inlineStr">
        <is>
          <t>Quality Assurance/Safety Evaluator</t>
        </is>
      </c>
      <c r="C267" t="inlineStr">
        <is>
          <t>Non-SCA</t>
        </is>
      </c>
      <c r="D267" t="inlineStr">
        <is>
          <t>Exempt</t>
        </is>
      </c>
      <c r="E267" s="5" t="n">
        <v>75</v>
      </c>
      <c r="F267" s="4" t="n">
        <v>9560</v>
      </c>
      <c r="G267" s="5">
        <f>E267*F267</f>
        <v/>
      </c>
      <c r="H267" s="5">
        <f>G267*0.35</f>
        <v/>
      </c>
      <c r="I267" s="5">
        <f>(G267+H267)*0.05</f>
        <v/>
      </c>
      <c r="J267" s="5">
        <f>(G267+H267+I267)*0.03</f>
        <v/>
      </c>
      <c r="K267" s="5">
        <f>G267+H267+I267+J267</f>
        <v/>
      </c>
      <c r="L267" s="5">
        <f>K267*0.08</f>
        <v/>
      </c>
      <c r="M267" s="5">
        <f>K267+L267</f>
        <v/>
      </c>
      <c r="N267" s="4" t="n">
        <v>1912</v>
      </c>
      <c r="O267" s="5">
        <f>(E267*N267)*1.35*1.05*1.03*1.08</f>
        <v/>
      </c>
      <c r="P267" s="4" t="n">
        <v>1912</v>
      </c>
      <c r="Q267" s="5">
        <f>(E267*P267)*1.35*1.05*1.03*1.08</f>
        <v/>
      </c>
      <c r="R267" s="4" t="n">
        <v>1912</v>
      </c>
      <c r="S267" s="5">
        <f>(E267*R267)*1.35*1.05*1.03*1.08</f>
        <v/>
      </c>
      <c r="T267" s="4" t="n">
        <v>1912</v>
      </c>
      <c r="U267" s="5">
        <f>(E267*T267)*1.35*1.05*1.03*1.08</f>
        <v/>
      </c>
      <c r="V267" s="4">
        <f>F267+N267+P267+R267+T267</f>
        <v/>
      </c>
      <c r="W267" s="5">
        <f>M267+O267+Q267+S267+U267</f>
        <v/>
      </c>
    </row>
    <row r="268">
      <c r="A268" t="inlineStr">
        <is>
          <t>Yuma</t>
        </is>
      </c>
      <c r="B268" t="inlineStr">
        <is>
          <t>Site Manager</t>
        </is>
      </c>
      <c r="C268" t="inlineStr">
        <is>
          <t>Non-SCA</t>
        </is>
      </c>
      <c r="D268" t="inlineStr">
        <is>
          <t>Exempt</t>
        </is>
      </c>
      <c r="E268" s="5" t="n">
        <v>95</v>
      </c>
      <c r="F268" s="4" t="n">
        <v>191.2</v>
      </c>
      <c r="G268" s="5">
        <f>E268*F268</f>
        <v/>
      </c>
      <c r="H268" s="5">
        <f>G268*0.35</f>
        <v/>
      </c>
      <c r="I268" s="5">
        <f>(G268+H268)*0.05</f>
        <v/>
      </c>
      <c r="J268" s="5">
        <f>(G268+H268+I268)*0.03</f>
        <v/>
      </c>
      <c r="K268" s="5">
        <f>G268+H268+I268+J268</f>
        <v/>
      </c>
      <c r="L268" s="5">
        <f>K268*0.08</f>
        <v/>
      </c>
      <c r="M268" s="5">
        <f>K268+L268</f>
        <v/>
      </c>
      <c r="N268" s="4" t="n">
        <v>38.24</v>
      </c>
      <c r="O268" s="5">
        <f>(E268*N268)*1.35*1.05*1.03*1.08</f>
        <v/>
      </c>
      <c r="P268" s="4" t="n">
        <v>38.24</v>
      </c>
      <c r="Q268" s="5">
        <f>(E268*P268)*1.35*1.05*1.03*1.08</f>
        <v/>
      </c>
      <c r="R268" s="4" t="n">
        <v>38.24</v>
      </c>
      <c r="S268" s="5">
        <f>(E268*R268)*1.35*1.05*1.03*1.08</f>
        <v/>
      </c>
      <c r="T268" s="4" t="n">
        <v>38.24</v>
      </c>
      <c r="U268" s="5">
        <f>(E268*T268)*1.35*1.05*1.03*1.08</f>
        <v/>
      </c>
      <c r="V268" s="4">
        <f>F268+N268+P268+R268+T268</f>
        <v/>
      </c>
      <c r="W268" s="5">
        <f>M268+O268+Q268+S268+U268</f>
        <v/>
      </c>
    </row>
    <row r="269">
      <c r="A269" t="inlineStr">
        <is>
          <t>Yuma</t>
        </is>
      </c>
      <c r="B269" t="inlineStr">
        <is>
          <t>Mission Coordinator</t>
        </is>
      </c>
      <c r="C269" t="inlineStr">
        <is>
          <t>Non-SCA</t>
        </is>
      </c>
      <c r="D269" t="inlineStr">
        <is>
          <t>Exempt</t>
        </is>
      </c>
      <c r="E269" s="5" t="n">
        <v>85</v>
      </c>
      <c r="F269" s="4" t="n">
        <v>382.4</v>
      </c>
      <c r="G269" s="5">
        <f>E269*F269</f>
        <v/>
      </c>
      <c r="H269" s="5">
        <f>G269*0.35</f>
        <v/>
      </c>
      <c r="I269" s="5">
        <f>(G269+H269)*0.05</f>
        <v/>
      </c>
      <c r="J269" s="5">
        <f>(G269+H269+I269)*0.03</f>
        <v/>
      </c>
      <c r="K269" s="5">
        <f>G269+H269+I269+J269</f>
        <v/>
      </c>
      <c r="L269" s="5">
        <f>K269*0.08</f>
        <v/>
      </c>
      <c r="M269" s="5">
        <f>K269+L269</f>
        <v/>
      </c>
      <c r="N269" s="4" t="n">
        <v>76.48</v>
      </c>
      <c r="O269" s="5">
        <f>(E269*N269)*1.35*1.05*1.03*1.08</f>
        <v/>
      </c>
      <c r="P269" s="4" t="n">
        <v>76.48</v>
      </c>
      <c r="Q269" s="5">
        <f>(E269*P269)*1.35*1.05*1.03*1.08</f>
        <v/>
      </c>
      <c r="R269" s="4" t="n">
        <v>76.48</v>
      </c>
      <c r="S269" s="5">
        <f>(E269*R269)*1.35*1.05*1.03*1.08</f>
        <v/>
      </c>
      <c r="T269" s="4" t="n">
        <v>76.48</v>
      </c>
      <c r="U269" s="5">
        <f>(E269*T269)*1.35*1.05*1.03*1.08</f>
        <v/>
      </c>
      <c r="V269" s="4">
        <f>F269+N269+P269+R269+T269</f>
        <v/>
      </c>
      <c r="W269" s="5">
        <f>M269+O269+Q269+S269+U269</f>
        <v/>
      </c>
    </row>
    <row r="270">
      <c r="A270" t="inlineStr">
        <is>
          <t>Yuma</t>
        </is>
      </c>
      <c r="B270" t="inlineStr">
        <is>
          <t>Mission Coordinator, Senior</t>
        </is>
      </c>
      <c r="C270" t="inlineStr">
        <is>
          <t>Non-SCA</t>
        </is>
      </c>
      <c r="D270" t="inlineStr">
        <is>
          <t>Exempt</t>
        </is>
      </c>
      <c r="E270" s="5" t="n">
        <v>95</v>
      </c>
      <c r="F270" s="4" t="n">
        <v>191.2</v>
      </c>
      <c r="G270" s="5">
        <f>E270*F270</f>
        <v/>
      </c>
      <c r="H270" s="5">
        <f>G270*0.35</f>
        <v/>
      </c>
      <c r="I270" s="5">
        <f>(G270+H270)*0.05</f>
        <v/>
      </c>
      <c r="J270" s="5">
        <f>(G270+H270+I270)*0.03</f>
        <v/>
      </c>
      <c r="K270" s="5">
        <f>G270+H270+I270+J270</f>
        <v/>
      </c>
      <c r="L270" s="5">
        <f>K270*0.08</f>
        <v/>
      </c>
      <c r="M270" s="5">
        <f>K270+L270</f>
        <v/>
      </c>
      <c r="N270" s="4" t="n">
        <v>38.24</v>
      </c>
      <c r="O270" s="5">
        <f>(E270*N270)*1.35*1.05*1.03*1.08</f>
        <v/>
      </c>
      <c r="P270" s="4" t="n">
        <v>38.24</v>
      </c>
      <c r="Q270" s="5">
        <f>(E270*P270)*1.35*1.05*1.03*1.08</f>
        <v/>
      </c>
      <c r="R270" s="4" t="n">
        <v>38.24</v>
      </c>
      <c r="S270" s="5">
        <f>(E270*R270)*1.35*1.05*1.03*1.08</f>
        <v/>
      </c>
      <c r="T270" s="4" t="n">
        <v>38.24</v>
      </c>
      <c r="U270" s="5">
        <f>(E270*T270)*1.35*1.05*1.03*1.08</f>
        <v/>
      </c>
      <c r="V270" s="4">
        <f>F270+N270+P270+R270+T270</f>
        <v/>
      </c>
      <c r="W270" s="5">
        <f>M270+O270+Q270+S270+U270</f>
        <v/>
      </c>
    </row>
    <row r="271">
      <c r="A271" t="inlineStr">
        <is>
          <t>Yuma</t>
        </is>
      </c>
      <c r="B271" t="inlineStr">
        <is>
          <t>Computer Operator III</t>
        </is>
      </c>
      <c r="C271" t="inlineStr">
        <is>
          <t>SCA</t>
        </is>
      </c>
      <c r="D271" t="inlineStr">
        <is>
          <t>CBA</t>
        </is>
      </c>
      <c r="E271" s="5" t="n">
        <v>25.06</v>
      </c>
      <c r="F271" s="4" t="n">
        <v>573.6</v>
      </c>
      <c r="G271" s="5">
        <f>E271*F271</f>
        <v/>
      </c>
      <c r="H271" s="5">
        <f>G271*0.35</f>
        <v/>
      </c>
      <c r="I271" s="5">
        <f>(G271+H271)*0.05</f>
        <v/>
      </c>
      <c r="J271" s="5">
        <f>(G271+H271+I271)*0.03</f>
        <v/>
      </c>
      <c r="K271" s="5">
        <f>G271+H271+I271+J271</f>
        <v/>
      </c>
      <c r="L271" s="5">
        <f>K271*0.08</f>
        <v/>
      </c>
      <c r="M271" s="5">
        <f>K271+L271</f>
        <v/>
      </c>
      <c r="N271" s="4" t="n">
        <v>114.72</v>
      </c>
      <c r="O271" s="5">
        <f>(E271*N271)*1.35*1.05*1.03*1.08</f>
        <v/>
      </c>
      <c r="P271" s="4" t="n">
        <v>114.72</v>
      </c>
      <c r="Q271" s="5">
        <f>(E271*P271)*1.35*1.05*1.03*1.08</f>
        <v/>
      </c>
      <c r="R271" s="4" t="n">
        <v>114.72</v>
      </c>
      <c r="S271" s="5">
        <f>(E271*R271)*1.35*1.05*1.03*1.08</f>
        <v/>
      </c>
      <c r="T271" s="4" t="n">
        <v>114.72</v>
      </c>
      <c r="U271" s="5">
        <f>(E271*T271)*1.35*1.05*1.03*1.08</f>
        <v/>
      </c>
      <c r="V271" s="4">
        <f>F271+N271+P271+R271+T271</f>
        <v/>
      </c>
      <c r="W271" s="5">
        <f>M271+O271+Q271+S271+U271</f>
        <v/>
      </c>
    </row>
    <row r="272">
      <c r="A272" t="inlineStr">
        <is>
          <t>Yuma</t>
        </is>
      </c>
      <c r="B272" t="inlineStr">
        <is>
          <t>Computer Operator V</t>
        </is>
      </c>
      <c r="C272" t="inlineStr">
        <is>
          <t>SCA</t>
        </is>
      </c>
      <c r="D272" t="inlineStr">
        <is>
          <t>CBA</t>
        </is>
      </c>
      <c r="E272" s="5" t="n">
        <v>29.73</v>
      </c>
      <c r="F272" s="4" t="n">
        <v>191.2</v>
      </c>
      <c r="G272" s="5">
        <f>E272*F272</f>
        <v/>
      </c>
      <c r="H272" s="5">
        <f>G272*0.35</f>
        <v/>
      </c>
      <c r="I272" s="5">
        <f>(G272+H272)*0.05</f>
        <v/>
      </c>
      <c r="J272" s="5">
        <f>(G272+H272+I272)*0.03</f>
        <v/>
      </c>
      <c r="K272" s="5">
        <f>G272+H272+I272+J272</f>
        <v/>
      </c>
      <c r="L272" s="5">
        <f>K272*0.08</f>
        <v/>
      </c>
      <c r="M272" s="5">
        <f>K272+L272</f>
        <v/>
      </c>
      <c r="N272" s="4" t="n">
        <v>38.24</v>
      </c>
      <c r="O272" s="5">
        <f>(E272*N272)*1.35*1.05*1.03*1.08</f>
        <v/>
      </c>
      <c r="P272" s="4" t="n">
        <v>38.24</v>
      </c>
      <c r="Q272" s="5">
        <f>(E272*P272)*1.35*1.05*1.03*1.08</f>
        <v/>
      </c>
      <c r="R272" s="4" t="n">
        <v>38.24</v>
      </c>
      <c r="S272" s="5">
        <f>(E272*R272)*1.35*1.05*1.03*1.08</f>
        <v/>
      </c>
      <c r="T272" s="4" t="n">
        <v>38.24</v>
      </c>
      <c r="U272" s="5">
        <f>(E272*T272)*1.35*1.05*1.03*1.08</f>
        <v/>
      </c>
      <c r="V272" s="4">
        <f>F272+N272+P272+R272+T272</f>
        <v/>
      </c>
      <c r="W272" s="5">
        <f>M272+O272+Q272+S272+U272</f>
        <v/>
      </c>
    </row>
    <row r="273">
      <c r="A273" t="inlineStr">
        <is>
          <t>Yuma</t>
        </is>
      </c>
      <c r="B273" t="inlineStr">
        <is>
          <t>Tactical Data Link Analyst</t>
        </is>
      </c>
      <c r="C273" t="inlineStr">
        <is>
          <t>Non-SCA</t>
        </is>
      </c>
      <c r="D273" t="inlineStr">
        <is>
          <t>Exempt</t>
        </is>
      </c>
      <c r="E273" s="5" t="n">
        <v>75</v>
      </c>
      <c r="F273" s="4" t="n">
        <v>191.2</v>
      </c>
      <c r="G273" s="5">
        <f>E273*F273</f>
        <v/>
      </c>
      <c r="H273" s="5">
        <f>G273*0.35</f>
        <v/>
      </c>
      <c r="I273" s="5">
        <f>(G273+H273)*0.05</f>
        <v/>
      </c>
      <c r="J273" s="5">
        <f>(G273+H273+I273)*0.03</f>
        <v/>
      </c>
      <c r="K273" s="5">
        <f>G273+H273+I273+J273</f>
        <v/>
      </c>
      <c r="L273" s="5">
        <f>K273*0.08</f>
        <v/>
      </c>
      <c r="M273" s="5">
        <f>K273+L273</f>
        <v/>
      </c>
      <c r="N273" s="4" t="n">
        <v>38.24</v>
      </c>
      <c r="O273" s="5">
        <f>(E273*N273)*1.35*1.05*1.03*1.08</f>
        <v/>
      </c>
      <c r="P273" s="4" t="n">
        <v>38.24</v>
      </c>
      <c r="Q273" s="5">
        <f>(E273*P273)*1.35*1.05*1.03*1.08</f>
        <v/>
      </c>
      <c r="R273" s="4" t="n">
        <v>38.24</v>
      </c>
      <c r="S273" s="5">
        <f>(E273*R273)*1.35*1.05*1.03*1.08</f>
        <v/>
      </c>
      <c r="T273" s="4" t="n">
        <v>38.24</v>
      </c>
      <c r="U273" s="5">
        <f>(E273*T273)*1.35*1.05*1.03*1.08</f>
        <v/>
      </c>
      <c r="V273" s="4">
        <f>F273+N273+P273+R273+T273</f>
        <v/>
      </c>
      <c r="W273" s="5">
        <f>M273+O273+Q273+S273+U273</f>
        <v/>
      </c>
    </row>
    <row r="274">
      <c r="A274" t="inlineStr">
        <is>
          <t>Yuma</t>
        </is>
      </c>
      <c r="B274" t="inlineStr">
        <is>
          <t>Engineering Technician IV</t>
        </is>
      </c>
      <c r="C274" t="inlineStr">
        <is>
          <t>SCA</t>
        </is>
      </c>
      <c r="D274" t="inlineStr">
        <is>
          <t>SCLS</t>
        </is>
      </c>
      <c r="E274" s="5" t="n">
        <v>26.87</v>
      </c>
      <c r="F274" s="4" t="n">
        <v>573.6</v>
      </c>
      <c r="G274" s="5">
        <f>E274*F274</f>
        <v/>
      </c>
      <c r="H274" s="5">
        <f>G274*0.35</f>
        <v/>
      </c>
      <c r="I274" s="5">
        <f>(G274+H274)*0.05</f>
        <v/>
      </c>
      <c r="J274" s="5">
        <f>(G274+H274+I274)*0.03</f>
        <v/>
      </c>
      <c r="K274" s="5">
        <f>G274+H274+I274+J274</f>
        <v/>
      </c>
      <c r="L274" s="5">
        <f>K274*0.08</f>
        <v/>
      </c>
      <c r="M274" s="5">
        <f>K274+L274</f>
        <v/>
      </c>
      <c r="N274" s="4" t="n">
        <v>114.72</v>
      </c>
      <c r="O274" s="5">
        <f>(E274*N274)*1.35*1.05*1.03*1.08</f>
        <v/>
      </c>
      <c r="P274" s="4" t="n">
        <v>114.72</v>
      </c>
      <c r="Q274" s="5">
        <f>(E274*P274)*1.35*1.05*1.03*1.08</f>
        <v/>
      </c>
      <c r="R274" s="4" t="n">
        <v>114.72</v>
      </c>
      <c r="S274" s="5">
        <f>(E274*R274)*1.35*1.05*1.03*1.08</f>
        <v/>
      </c>
      <c r="T274" s="4" t="n">
        <v>114.72</v>
      </c>
      <c r="U274" s="5">
        <f>(E274*T274)*1.35*1.05*1.03*1.08</f>
        <v/>
      </c>
      <c r="V274" s="4">
        <f>F274+N274+P274+R274+T274</f>
        <v/>
      </c>
      <c r="W274" s="5">
        <f>M274+O274+Q274+S274+U274</f>
        <v/>
      </c>
    </row>
    <row r="275">
      <c r="A275" t="inlineStr">
        <is>
          <t>Yuma</t>
        </is>
      </c>
      <c r="B275" t="inlineStr">
        <is>
          <t>Electronics Technician II</t>
        </is>
      </c>
      <c r="C275" t="inlineStr">
        <is>
          <t>SCA</t>
        </is>
      </c>
      <c r="D275" t="inlineStr">
        <is>
          <t>CBA</t>
        </is>
      </c>
      <c r="E275" s="5" t="n">
        <v>32.67</v>
      </c>
      <c r="F275" s="4" t="n">
        <v>2485.6</v>
      </c>
      <c r="G275" s="5">
        <f>E275*F275</f>
        <v/>
      </c>
      <c r="H275" s="5">
        <f>G275*0.35</f>
        <v/>
      </c>
      <c r="I275" s="5">
        <f>(G275+H275)*0.05</f>
        <v/>
      </c>
      <c r="J275" s="5">
        <f>(G275+H275+I275)*0.03</f>
        <v/>
      </c>
      <c r="K275" s="5">
        <f>G275+H275+I275+J275</f>
        <v/>
      </c>
      <c r="L275" s="5">
        <f>K275*0.08</f>
        <v/>
      </c>
      <c r="M275" s="5">
        <f>K275+L275</f>
        <v/>
      </c>
      <c r="N275" s="4" t="n">
        <v>497.12</v>
      </c>
      <c r="O275" s="5">
        <f>(E275*N275)*1.35*1.05*1.03*1.08</f>
        <v/>
      </c>
      <c r="P275" s="4" t="n">
        <v>497.12</v>
      </c>
      <c r="Q275" s="5">
        <f>(E275*P275)*1.35*1.05*1.03*1.08</f>
        <v/>
      </c>
      <c r="R275" s="4" t="n">
        <v>497.12</v>
      </c>
      <c r="S275" s="5">
        <f>(E275*R275)*1.35*1.05*1.03*1.08</f>
        <v/>
      </c>
      <c r="T275" s="4" t="n">
        <v>497.12</v>
      </c>
      <c r="U275" s="5">
        <f>(E275*T275)*1.35*1.05*1.03*1.08</f>
        <v/>
      </c>
      <c r="V275" s="4">
        <f>F275+N275+P275+R275+T275</f>
        <v/>
      </c>
      <c r="W275" s="5">
        <f>M275+O275+Q275+S275+U275</f>
        <v/>
      </c>
    </row>
    <row r="276">
      <c r="A276" t="inlineStr">
        <is>
          <t>Yuma</t>
        </is>
      </c>
      <c r="B276" t="inlineStr">
        <is>
          <t>Electronics Technician III</t>
        </is>
      </c>
      <c r="C276" t="inlineStr">
        <is>
          <t>SCA</t>
        </is>
      </c>
      <c r="D276" t="inlineStr">
        <is>
          <t>CBA</t>
        </is>
      </c>
      <c r="E276" s="5" t="n">
        <v>34.78</v>
      </c>
      <c r="F276" s="4" t="n">
        <v>3059.2</v>
      </c>
      <c r="G276" s="5">
        <f>E276*F276</f>
        <v/>
      </c>
      <c r="H276" s="5">
        <f>G276*0.35</f>
        <v/>
      </c>
      <c r="I276" s="5">
        <f>(G276+H276)*0.05</f>
        <v/>
      </c>
      <c r="J276" s="5">
        <f>(G276+H276+I276)*0.03</f>
        <v/>
      </c>
      <c r="K276" s="5">
        <f>G276+H276+I276+J276</f>
        <v/>
      </c>
      <c r="L276" s="5">
        <f>K276*0.08</f>
        <v/>
      </c>
      <c r="M276" s="5">
        <f>K276+L276</f>
        <v/>
      </c>
      <c r="N276" s="4" t="n">
        <v>611.84</v>
      </c>
      <c r="O276" s="5">
        <f>(E276*N276)*1.35*1.05*1.03*1.08</f>
        <v/>
      </c>
      <c r="P276" s="4" t="n">
        <v>611.84</v>
      </c>
      <c r="Q276" s="5">
        <f>(E276*P276)*1.35*1.05*1.03*1.08</f>
        <v/>
      </c>
      <c r="R276" s="4" t="n">
        <v>611.84</v>
      </c>
      <c r="S276" s="5">
        <f>(E276*R276)*1.35*1.05*1.03*1.08</f>
        <v/>
      </c>
      <c r="T276" s="4" t="n">
        <v>611.84</v>
      </c>
      <c r="U276" s="5">
        <f>(E276*T276)*1.35*1.05*1.03*1.08</f>
        <v/>
      </c>
      <c r="V276" s="4">
        <f>F276+N276+P276+R276+T276</f>
        <v/>
      </c>
      <c r="W276" s="5">
        <f>M276+O276+Q276+S276+U276</f>
        <v/>
      </c>
    </row>
    <row r="277">
      <c r="A277" t="inlineStr">
        <is>
          <t>Yuma</t>
        </is>
      </c>
      <c r="B277" t="inlineStr">
        <is>
          <t>Engineering Technician VI</t>
        </is>
      </c>
      <c r="C277" t="inlineStr">
        <is>
          <t>SCA</t>
        </is>
      </c>
      <c r="D277" t="inlineStr">
        <is>
          <t>SCLS</t>
        </is>
      </c>
      <c r="E277" s="5" t="n">
        <v>39.75</v>
      </c>
      <c r="F277" s="4" t="n">
        <v>1147.2</v>
      </c>
      <c r="G277" s="5">
        <f>E277*F277</f>
        <v/>
      </c>
      <c r="H277" s="5">
        <f>G277*0.35</f>
        <v/>
      </c>
      <c r="I277" s="5">
        <f>(G277+H277)*0.05</f>
        <v/>
      </c>
      <c r="J277" s="5">
        <f>(G277+H277+I277)*0.03</f>
        <v/>
      </c>
      <c r="K277" s="5">
        <f>G277+H277+I277+J277</f>
        <v/>
      </c>
      <c r="L277" s="5">
        <f>K277*0.08</f>
        <v/>
      </c>
      <c r="M277" s="5">
        <f>K277+L277</f>
        <v/>
      </c>
      <c r="N277" s="4" t="n">
        <v>229.44</v>
      </c>
      <c r="O277" s="5">
        <f>(E277*N277)*1.35*1.05*1.03*1.08</f>
        <v/>
      </c>
      <c r="P277" s="4" t="n">
        <v>229.44</v>
      </c>
      <c r="Q277" s="5">
        <f>(E277*P277)*1.35*1.05*1.03*1.08</f>
        <v/>
      </c>
      <c r="R277" s="4" t="n">
        <v>229.44</v>
      </c>
      <c r="S277" s="5">
        <f>(E277*R277)*1.35*1.05*1.03*1.08</f>
        <v/>
      </c>
      <c r="T277" s="4" t="n">
        <v>229.44</v>
      </c>
      <c r="U277" s="5">
        <f>(E277*T277)*1.35*1.05*1.03*1.08</f>
        <v/>
      </c>
      <c r="V277" s="4">
        <f>F277+N277+P277+R277+T277</f>
        <v/>
      </c>
      <c r="W277" s="5">
        <f>M277+O277+Q277+S277+U277</f>
        <v/>
      </c>
    </row>
    <row r="278">
      <c r="A278" t="inlineStr">
        <is>
          <t>Yuma</t>
        </is>
      </c>
      <c r="B278" t="inlineStr">
        <is>
          <t>Electronics Technician I</t>
        </is>
      </c>
      <c r="C278" t="inlineStr">
        <is>
          <t>SCA</t>
        </is>
      </c>
      <c r="D278" t="inlineStr">
        <is>
          <t>CBA</t>
        </is>
      </c>
      <c r="E278" s="5" t="n">
        <v>29.19</v>
      </c>
      <c r="F278" s="4" t="n">
        <v>573.6</v>
      </c>
      <c r="G278" s="5">
        <f>E278*F278</f>
        <v/>
      </c>
      <c r="H278" s="5">
        <f>G278*0.35</f>
        <v/>
      </c>
      <c r="I278" s="5">
        <f>(G278+H278)*0.05</f>
        <v/>
      </c>
      <c r="J278" s="5">
        <f>(G278+H278+I278)*0.03</f>
        <v/>
      </c>
      <c r="K278" s="5">
        <f>G278+H278+I278+J278</f>
        <v/>
      </c>
      <c r="L278" s="5">
        <f>K278*0.08</f>
        <v/>
      </c>
      <c r="M278" s="5">
        <f>K278+L278</f>
        <v/>
      </c>
      <c r="N278" s="4" t="n">
        <v>114.72</v>
      </c>
      <c r="O278" s="5">
        <f>(E278*N278)*1.35*1.05*1.03*1.08</f>
        <v/>
      </c>
      <c r="P278" s="4" t="n">
        <v>114.72</v>
      </c>
      <c r="Q278" s="5">
        <f>(E278*P278)*1.35*1.05*1.03*1.08</f>
        <v/>
      </c>
      <c r="R278" s="4" t="n">
        <v>114.72</v>
      </c>
      <c r="S278" s="5">
        <f>(E278*R278)*1.35*1.05*1.03*1.08</f>
        <v/>
      </c>
      <c r="T278" s="4" t="n">
        <v>114.72</v>
      </c>
      <c r="U278" s="5">
        <f>(E278*T278)*1.35*1.05*1.03*1.08</f>
        <v/>
      </c>
      <c r="V278" s="4">
        <f>F278+N278+P278+R278+T278</f>
        <v/>
      </c>
      <c r="W278" s="5">
        <f>M278+O278+Q278+S278+U278</f>
        <v/>
      </c>
    </row>
    <row r="279">
      <c r="A279" t="inlineStr">
        <is>
          <t>Yuma</t>
        </is>
      </c>
      <c r="B279" t="inlineStr">
        <is>
          <t>Computer Systems Analyst II</t>
        </is>
      </c>
      <c r="C279" t="inlineStr">
        <is>
          <t>SCA</t>
        </is>
      </c>
      <c r="D279" t="inlineStr">
        <is>
          <t>CBA</t>
        </is>
      </c>
      <c r="E279" s="5" t="n">
        <v>75</v>
      </c>
      <c r="F279" s="4" t="n">
        <v>191.2</v>
      </c>
      <c r="G279" s="5">
        <f>E279*F279</f>
        <v/>
      </c>
      <c r="H279" s="5">
        <f>G279*0.35</f>
        <v/>
      </c>
      <c r="I279" s="5">
        <f>(G279+H279)*0.05</f>
        <v/>
      </c>
      <c r="J279" s="5">
        <f>(G279+H279+I279)*0.03</f>
        <v/>
      </c>
      <c r="K279" s="5">
        <f>G279+H279+I279+J279</f>
        <v/>
      </c>
      <c r="L279" s="5">
        <f>K279*0.08</f>
        <v/>
      </c>
      <c r="M279" s="5">
        <f>K279+L279</f>
        <v/>
      </c>
      <c r="N279" s="4" t="n">
        <v>38.24</v>
      </c>
      <c r="O279" s="5">
        <f>(E279*N279)*1.35*1.05*1.03*1.08</f>
        <v/>
      </c>
      <c r="P279" s="4" t="n">
        <v>38.24</v>
      </c>
      <c r="Q279" s="5">
        <f>(E279*P279)*1.35*1.05*1.03*1.08</f>
        <v/>
      </c>
      <c r="R279" s="4" t="n">
        <v>38.24</v>
      </c>
      <c r="S279" s="5">
        <f>(E279*R279)*1.35*1.05*1.03*1.08</f>
        <v/>
      </c>
      <c r="T279" s="4" t="n">
        <v>38.24</v>
      </c>
      <c r="U279" s="5">
        <f>(E279*T279)*1.35*1.05*1.03*1.08</f>
        <v/>
      </c>
      <c r="V279" s="4">
        <f>F279+N279+P279+R279+T279</f>
        <v/>
      </c>
      <c r="W279" s="5">
        <f>M279+O279+Q279+S279+U279</f>
        <v/>
      </c>
    </row>
    <row r="280">
      <c r="A280" t="inlineStr">
        <is>
          <t>Yuma</t>
        </is>
      </c>
      <c r="B280" t="inlineStr">
        <is>
          <t>Computer Systems Analyst III</t>
        </is>
      </c>
      <c r="C280" t="inlineStr">
        <is>
          <t>SCA</t>
        </is>
      </c>
      <c r="D280" t="inlineStr">
        <is>
          <t>CBA</t>
        </is>
      </c>
      <c r="E280" s="5" t="n">
        <v>75</v>
      </c>
      <c r="F280" s="4" t="n">
        <v>191.2</v>
      </c>
      <c r="G280" s="5">
        <f>E280*F280</f>
        <v/>
      </c>
      <c r="H280" s="5">
        <f>G280*0.35</f>
        <v/>
      </c>
      <c r="I280" s="5">
        <f>(G280+H280)*0.05</f>
        <v/>
      </c>
      <c r="J280" s="5">
        <f>(G280+H280+I280)*0.03</f>
        <v/>
      </c>
      <c r="K280" s="5">
        <f>G280+H280+I280+J280</f>
        <v/>
      </c>
      <c r="L280" s="5">
        <f>K280*0.08</f>
        <v/>
      </c>
      <c r="M280" s="5">
        <f>K280+L280</f>
        <v/>
      </c>
      <c r="N280" s="4" t="n">
        <v>38.24</v>
      </c>
      <c r="O280" s="5">
        <f>(E280*N280)*1.35*1.05*1.03*1.08</f>
        <v/>
      </c>
      <c r="P280" s="4" t="n">
        <v>38.24</v>
      </c>
      <c r="Q280" s="5">
        <f>(E280*P280)*1.35*1.05*1.03*1.08</f>
        <v/>
      </c>
      <c r="R280" s="4" t="n">
        <v>38.24</v>
      </c>
      <c r="S280" s="5">
        <f>(E280*R280)*1.35*1.05*1.03*1.08</f>
        <v/>
      </c>
      <c r="T280" s="4" t="n">
        <v>38.24</v>
      </c>
      <c r="U280" s="5">
        <f>(E280*T280)*1.35*1.05*1.03*1.08</f>
        <v/>
      </c>
      <c r="V280" s="4">
        <f>F280+N280+P280+R280+T280</f>
        <v/>
      </c>
      <c r="W280" s="5">
        <f>M280+O280+Q280+S280+U280</f>
        <v/>
      </c>
    </row>
    <row r="281">
      <c r="A281" t="inlineStr">
        <is>
          <t>Yuma</t>
        </is>
      </c>
      <c r="B281" t="inlineStr">
        <is>
          <t>General Maintenance Worker</t>
        </is>
      </c>
      <c r="C281" t="inlineStr">
        <is>
          <t>SCA</t>
        </is>
      </c>
      <c r="D281" t="inlineStr">
        <is>
          <t>CBA</t>
        </is>
      </c>
      <c r="E281" s="5" t="n">
        <v>19.36</v>
      </c>
      <c r="F281" s="4" t="n">
        <v>191.2</v>
      </c>
      <c r="G281" s="5">
        <f>E281*F281</f>
        <v/>
      </c>
      <c r="H281" s="5">
        <f>G281*0.35</f>
        <v/>
      </c>
      <c r="I281" s="5">
        <f>(G281+H281)*0.05</f>
        <v/>
      </c>
      <c r="J281" s="5">
        <f>(G281+H281+I281)*0.03</f>
        <v/>
      </c>
      <c r="K281" s="5">
        <f>G281+H281+I281+J281</f>
        <v/>
      </c>
      <c r="L281" s="5">
        <f>K281*0.08</f>
        <v/>
      </c>
      <c r="M281" s="5">
        <f>K281+L281</f>
        <v/>
      </c>
      <c r="N281" s="4" t="n">
        <v>38.24</v>
      </c>
      <c r="O281" s="5">
        <f>(E281*N281)*1.35*1.05*1.03*1.08</f>
        <v/>
      </c>
      <c r="P281" s="4" t="n">
        <v>38.24</v>
      </c>
      <c r="Q281" s="5">
        <f>(E281*P281)*1.35*1.05*1.03*1.08</f>
        <v/>
      </c>
      <c r="R281" s="4" t="n">
        <v>38.24</v>
      </c>
      <c r="S281" s="5">
        <f>(E281*R281)*1.35*1.05*1.03*1.08</f>
        <v/>
      </c>
      <c r="T281" s="4" t="n">
        <v>38.24</v>
      </c>
      <c r="U281" s="5">
        <f>(E281*T281)*1.35*1.05*1.03*1.08</f>
        <v/>
      </c>
      <c r="V281" s="4">
        <f>F281+N281+P281+R281+T281</f>
        <v/>
      </c>
      <c r="W281" s="5">
        <f>M281+O281+Q281+S281+U281</f>
        <v/>
      </c>
    </row>
    <row r="282">
      <c r="A282" t="inlineStr">
        <is>
          <t>Yuma</t>
        </is>
      </c>
      <c r="B282" t="inlineStr">
        <is>
          <t>Generator Technician III</t>
        </is>
      </c>
      <c r="C282" t="inlineStr">
        <is>
          <t>Non-SCA</t>
        </is>
      </c>
      <c r="D282" t="inlineStr">
        <is>
          <t>Exempt</t>
        </is>
      </c>
      <c r="E282" s="5" t="n">
        <v>65</v>
      </c>
      <c r="F282" s="4" t="n">
        <v>191.2</v>
      </c>
      <c r="G282" s="5">
        <f>E282*F282</f>
        <v/>
      </c>
      <c r="H282" s="5">
        <f>G282*0.35</f>
        <v/>
      </c>
      <c r="I282" s="5">
        <f>(G282+H282)*0.05</f>
        <v/>
      </c>
      <c r="J282" s="5">
        <f>(G282+H282+I282)*0.03</f>
        <v/>
      </c>
      <c r="K282" s="5">
        <f>G282+H282+I282+J282</f>
        <v/>
      </c>
      <c r="L282" s="5">
        <f>K282*0.08</f>
        <v/>
      </c>
      <c r="M282" s="5">
        <f>K282+L282</f>
        <v/>
      </c>
      <c r="N282" s="4" t="n">
        <v>38.24</v>
      </c>
      <c r="O282" s="5">
        <f>(E282*N282)*1.35*1.05*1.03*1.08</f>
        <v/>
      </c>
      <c r="P282" s="4" t="n">
        <v>38.24</v>
      </c>
      <c r="Q282" s="5">
        <f>(E282*P282)*1.35*1.05*1.03*1.08</f>
        <v/>
      </c>
      <c r="R282" s="4" t="n">
        <v>38.24</v>
      </c>
      <c r="S282" s="5">
        <f>(E282*R282)*1.35*1.05*1.03*1.08</f>
        <v/>
      </c>
      <c r="T282" s="4" t="n">
        <v>38.24</v>
      </c>
      <c r="U282" s="5">
        <f>(E282*T282)*1.35*1.05*1.03*1.08</f>
        <v/>
      </c>
      <c r="V282" s="4">
        <f>F282+N282+P282+R282+T282</f>
        <v/>
      </c>
      <c r="W282" s="5">
        <f>M282+O282+Q282+S282+U282</f>
        <v/>
      </c>
    </row>
    <row r="283">
      <c r="A283" t="inlineStr">
        <is>
          <t>Yuma</t>
        </is>
      </c>
      <c r="B283" t="inlineStr">
        <is>
          <t>Heating, Ventilation and Air Conditioning</t>
        </is>
      </c>
      <c r="C283" t="inlineStr">
        <is>
          <t>SCA</t>
        </is>
      </c>
      <c r="D283" t="inlineStr">
        <is>
          <t>SCLS</t>
        </is>
      </c>
      <c r="E283" s="5" t="n">
        <v>25.35</v>
      </c>
      <c r="F283" s="4" t="n">
        <v>191.2</v>
      </c>
      <c r="G283" s="5">
        <f>E283*F283</f>
        <v/>
      </c>
      <c r="H283" s="5">
        <f>G283*0.35</f>
        <v/>
      </c>
      <c r="I283" s="5">
        <f>(G283+H283)*0.05</f>
        <v/>
      </c>
      <c r="J283" s="5">
        <f>(G283+H283+I283)*0.03</f>
        <v/>
      </c>
      <c r="K283" s="5">
        <f>G283+H283+I283+J283</f>
        <v/>
      </c>
      <c r="L283" s="5">
        <f>K283*0.08</f>
        <v/>
      </c>
      <c r="M283" s="5">
        <f>K283+L283</f>
        <v/>
      </c>
      <c r="N283" s="4" t="n">
        <v>38.24</v>
      </c>
      <c r="O283" s="5">
        <f>(E283*N283)*1.35*1.05*1.03*1.08</f>
        <v/>
      </c>
      <c r="P283" s="4" t="n">
        <v>38.24</v>
      </c>
      <c r="Q283" s="5">
        <f>(E283*P283)*1.35*1.05*1.03*1.08</f>
        <v/>
      </c>
      <c r="R283" s="4" t="n">
        <v>38.24</v>
      </c>
      <c r="S283" s="5">
        <f>(E283*R283)*1.35*1.05*1.03*1.08</f>
        <v/>
      </c>
      <c r="T283" s="4" t="n">
        <v>38.24</v>
      </c>
      <c r="U283" s="5">
        <f>(E283*T283)*1.35*1.05*1.03*1.08</f>
        <v/>
      </c>
      <c r="V283" s="4">
        <f>F283+N283+P283+R283+T283</f>
        <v/>
      </c>
      <c r="W283" s="5">
        <f>M283+O283+Q283+S283+U283</f>
        <v/>
      </c>
    </row>
    <row r="284">
      <c r="A284" t="inlineStr">
        <is>
          <t>Yuma</t>
        </is>
      </c>
      <c r="B284" t="inlineStr">
        <is>
          <t>Heavy Equipment Mechanic/Operator</t>
        </is>
      </c>
      <c r="C284" t="inlineStr">
        <is>
          <t>SCA</t>
        </is>
      </c>
      <c r="D284" t="inlineStr">
        <is>
          <t>CBA</t>
        </is>
      </c>
      <c r="E284" s="5" t="n">
        <v>31.6</v>
      </c>
      <c r="F284" s="4" t="n">
        <v>382.4</v>
      </c>
      <c r="G284" s="5">
        <f>E284*F284</f>
        <v/>
      </c>
      <c r="H284" s="5">
        <f>G284*0.35</f>
        <v/>
      </c>
      <c r="I284" s="5">
        <f>(G284+H284)*0.05</f>
        <v/>
      </c>
      <c r="J284" s="5">
        <f>(G284+H284+I284)*0.03</f>
        <v/>
      </c>
      <c r="K284" s="5">
        <f>G284+H284+I284+J284</f>
        <v/>
      </c>
      <c r="L284" s="5">
        <f>K284*0.08</f>
        <v/>
      </c>
      <c r="M284" s="5">
        <f>K284+L284</f>
        <v/>
      </c>
      <c r="N284" s="4" t="n">
        <v>76.48</v>
      </c>
      <c r="O284" s="5">
        <f>(E284*N284)*1.35*1.05*1.03*1.08</f>
        <v/>
      </c>
      <c r="P284" s="4" t="n">
        <v>76.48</v>
      </c>
      <c r="Q284" s="5">
        <f>(E284*P284)*1.35*1.05*1.03*1.08</f>
        <v/>
      </c>
      <c r="R284" s="4" t="n">
        <v>76.48</v>
      </c>
      <c r="S284" s="5">
        <f>(E284*R284)*1.35*1.05*1.03*1.08</f>
        <v/>
      </c>
      <c r="T284" s="4" t="n">
        <v>76.48</v>
      </c>
      <c r="U284" s="5">
        <f>(E284*T284)*1.35*1.05*1.03*1.08</f>
        <v/>
      </c>
      <c r="V284" s="4">
        <f>F284+N284+P284+R284+T284</f>
        <v/>
      </c>
      <c r="W284" s="5">
        <f>M284+O284+Q284+S284+U284</f>
        <v/>
      </c>
    </row>
    <row r="285">
      <c r="A285" t="inlineStr">
        <is>
          <t>Yuma</t>
        </is>
      </c>
      <c r="B285" t="inlineStr">
        <is>
          <t>Maintenance Coordinator</t>
        </is>
      </c>
      <c r="C285" t="inlineStr">
        <is>
          <t>Non-SCA</t>
        </is>
      </c>
      <c r="D285" t="inlineStr">
        <is>
          <t>Exempt</t>
        </is>
      </c>
      <c r="E285" s="5" t="n">
        <v>80</v>
      </c>
      <c r="F285" s="4" t="n">
        <v>382.4</v>
      </c>
      <c r="G285" s="5">
        <f>E285*F285</f>
        <v/>
      </c>
      <c r="H285" s="5">
        <f>G285*0.35</f>
        <v/>
      </c>
      <c r="I285" s="5">
        <f>(G285+H285)*0.05</f>
        <v/>
      </c>
      <c r="J285" s="5">
        <f>(G285+H285+I285)*0.03</f>
        <v/>
      </c>
      <c r="K285" s="5">
        <f>G285+H285+I285+J285</f>
        <v/>
      </c>
      <c r="L285" s="5">
        <f>K285*0.08</f>
        <v/>
      </c>
      <c r="M285" s="5">
        <f>K285+L285</f>
        <v/>
      </c>
      <c r="N285" s="4" t="n">
        <v>76.48</v>
      </c>
      <c r="O285" s="5">
        <f>(E285*N285)*1.35*1.05*1.03*1.08</f>
        <v/>
      </c>
      <c r="P285" s="4" t="n">
        <v>76.48</v>
      </c>
      <c r="Q285" s="5">
        <f>(E285*P285)*1.35*1.05*1.03*1.08</f>
        <v/>
      </c>
      <c r="R285" s="4" t="n">
        <v>76.48</v>
      </c>
      <c r="S285" s="5">
        <f>(E285*R285)*1.35*1.05*1.03*1.08</f>
        <v/>
      </c>
      <c r="T285" s="4" t="n">
        <v>76.48</v>
      </c>
      <c r="U285" s="5">
        <f>(E285*T285)*1.35*1.05*1.03*1.08</f>
        <v/>
      </c>
      <c r="V285" s="4">
        <f>F285+N285+P285+R285+T285</f>
        <v/>
      </c>
      <c r="W285" s="5">
        <f>M285+O285+Q285+S285+U285</f>
        <v/>
      </c>
    </row>
    <row r="286">
      <c r="A286" t="inlineStr">
        <is>
          <t>Yuma</t>
        </is>
      </c>
      <c r="B286" t="inlineStr">
        <is>
          <t>Logistician Analyst IV</t>
        </is>
      </c>
      <c r="C286" t="inlineStr">
        <is>
          <t>Non-SCA</t>
        </is>
      </c>
      <c r="D286" t="inlineStr">
        <is>
          <t>Exempt</t>
        </is>
      </c>
      <c r="E286" s="5" t="n">
        <v>75</v>
      </c>
      <c r="F286" s="4" t="n">
        <v>191.2</v>
      </c>
      <c r="G286" s="5">
        <f>E286*F286</f>
        <v/>
      </c>
      <c r="H286" s="5">
        <f>G286*0.35</f>
        <v/>
      </c>
      <c r="I286" s="5">
        <f>(G286+H286)*0.05</f>
        <v/>
      </c>
      <c r="J286" s="5">
        <f>(G286+H286+I286)*0.03</f>
        <v/>
      </c>
      <c r="K286" s="5">
        <f>G286+H286+I286+J286</f>
        <v/>
      </c>
      <c r="L286" s="5">
        <f>K286*0.08</f>
        <v/>
      </c>
      <c r="M286" s="5">
        <f>K286+L286</f>
        <v/>
      </c>
      <c r="N286" s="4" t="n">
        <v>38.24</v>
      </c>
      <c r="O286" s="5">
        <f>(E286*N286)*1.35*1.05*1.03*1.08</f>
        <v/>
      </c>
      <c r="P286" s="4" t="n">
        <v>38.24</v>
      </c>
      <c r="Q286" s="5">
        <f>(E286*P286)*1.35*1.05*1.03*1.08</f>
        <v/>
      </c>
      <c r="R286" s="4" t="n">
        <v>38.24</v>
      </c>
      <c r="S286" s="5">
        <f>(E286*R286)*1.35*1.05*1.03*1.08</f>
        <v/>
      </c>
      <c r="T286" s="4" t="n">
        <v>38.24</v>
      </c>
      <c r="U286" s="5">
        <f>(E286*T286)*1.35*1.05*1.03*1.08</f>
        <v/>
      </c>
      <c r="V286" s="4">
        <f>F286+N286+P286+R286+T286</f>
        <v/>
      </c>
      <c r="W286" s="5">
        <f>M286+O286+Q286+S286+U286</f>
        <v/>
      </c>
    </row>
    <row r="287">
      <c r="A287" t="inlineStr">
        <is>
          <t>Yuma</t>
        </is>
      </c>
      <c r="B287" t="inlineStr">
        <is>
          <t>Supply Technician</t>
        </is>
      </c>
      <c r="C287" t="inlineStr">
        <is>
          <t>SCA</t>
        </is>
      </c>
      <c r="D287" t="inlineStr">
        <is>
          <t>CBA</t>
        </is>
      </c>
      <c r="E287" s="5" t="n">
        <v>28.25</v>
      </c>
      <c r="F287" s="4" t="n">
        <v>382.4</v>
      </c>
      <c r="G287" s="5">
        <f>E287*F287</f>
        <v/>
      </c>
      <c r="H287" s="5">
        <f>G287*0.35</f>
        <v/>
      </c>
      <c r="I287" s="5">
        <f>(G287+H287)*0.05</f>
        <v/>
      </c>
      <c r="J287" s="5">
        <f>(G287+H287+I287)*0.03</f>
        <v/>
      </c>
      <c r="K287" s="5">
        <f>G287+H287+I287+J287</f>
        <v/>
      </c>
      <c r="L287" s="5">
        <f>K287*0.08</f>
        <v/>
      </c>
      <c r="M287" s="5">
        <f>K287+L287</f>
        <v/>
      </c>
      <c r="N287" s="4" t="n">
        <v>76.48</v>
      </c>
      <c r="O287" s="5">
        <f>(E287*N287)*1.35*1.05*1.03*1.08</f>
        <v/>
      </c>
      <c r="P287" s="4" t="n">
        <v>76.48</v>
      </c>
      <c r="Q287" s="5">
        <f>(E287*P287)*1.35*1.05*1.03*1.08</f>
        <v/>
      </c>
      <c r="R287" s="4" t="n">
        <v>76.48</v>
      </c>
      <c r="S287" s="5">
        <f>(E287*R287)*1.35*1.05*1.03*1.08</f>
        <v/>
      </c>
      <c r="T287" s="4" t="n">
        <v>76.48</v>
      </c>
      <c r="U287" s="5">
        <f>(E287*T287)*1.35*1.05*1.03*1.08</f>
        <v/>
      </c>
      <c r="V287" s="4">
        <f>F287+N287+P287+R287+T287</f>
        <v/>
      </c>
      <c r="W287" s="5">
        <f>M287+O287+Q287+S287+U287</f>
        <v/>
      </c>
    </row>
    <row r="288">
      <c r="A288" t="inlineStr">
        <is>
          <t>Yuma</t>
        </is>
      </c>
      <c r="B288" t="inlineStr">
        <is>
          <t>Security Coordinator</t>
        </is>
      </c>
      <c r="C288" t="inlineStr">
        <is>
          <t>Non-SCA</t>
        </is>
      </c>
      <c r="D288" t="inlineStr">
        <is>
          <t>Exempt</t>
        </is>
      </c>
      <c r="E288" s="5" t="n">
        <v>70</v>
      </c>
      <c r="F288" s="4" t="n">
        <v>764.8000000000001</v>
      </c>
      <c r="G288" s="5">
        <f>E288*F288</f>
        <v/>
      </c>
      <c r="H288" s="5">
        <f>G288*0.35</f>
        <v/>
      </c>
      <c r="I288" s="5">
        <f>(G288+H288)*0.05</f>
        <v/>
      </c>
      <c r="J288" s="5">
        <f>(G288+H288+I288)*0.03</f>
        <v/>
      </c>
      <c r="K288" s="5">
        <f>G288+H288+I288+J288</f>
        <v/>
      </c>
      <c r="L288" s="5">
        <f>K288*0.08</f>
        <v/>
      </c>
      <c r="M288" s="5">
        <f>K288+L288</f>
        <v/>
      </c>
      <c r="N288" s="4" t="n">
        <v>152.96</v>
      </c>
      <c r="O288" s="5">
        <f>(E288*N288)*1.35*1.05*1.03*1.08</f>
        <v/>
      </c>
      <c r="P288" s="4" t="n">
        <v>152.96</v>
      </c>
      <c r="Q288" s="5">
        <f>(E288*P288)*1.35*1.05*1.03*1.08</f>
        <v/>
      </c>
      <c r="R288" s="4" t="n">
        <v>152.96</v>
      </c>
      <c r="S288" s="5">
        <f>(E288*R288)*1.35*1.05*1.03*1.08</f>
        <v/>
      </c>
      <c r="T288" s="4" t="n">
        <v>152.96</v>
      </c>
      <c r="U288" s="5">
        <f>(E288*T288)*1.35*1.05*1.03*1.08</f>
        <v/>
      </c>
      <c r="V288" s="4">
        <f>F288+N288+P288+R288+T288</f>
        <v/>
      </c>
      <c r="W288" s="5">
        <f>M288+O288+Q288+S288+U288</f>
        <v/>
      </c>
    </row>
    <row r="289">
      <c r="A289" t="inlineStr">
        <is>
          <t>Yuma</t>
        </is>
      </c>
      <c r="B289" t="inlineStr">
        <is>
          <t>Quality Assurance/Safety Evaluator</t>
        </is>
      </c>
      <c r="C289" t="inlineStr">
        <is>
          <t>Non-SCA</t>
        </is>
      </c>
      <c r="D289" t="inlineStr">
        <is>
          <t>Exempt</t>
        </is>
      </c>
      <c r="E289" s="5" t="n">
        <v>75</v>
      </c>
      <c r="F289" s="4" t="n">
        <v>191.2</v>
      </c>
      <c r="G289" s="5">
        <f>E289*F289</f>
        <v/>
      </c>
      <c r="H289" s="5">
        <f>G289*0.35</f>
        <v/>
      </c>
      <c r="I289" s="5">
        <f>(G289+H289)*0.05</f>
        <v/>
      </c>
      <c r="J289" s="5">
        <f>(G289+H289+I289)*0.03</f>
        <v/>
      </c>
      <c r="K289" s="5">
        <f>G289+H289+I289+J289</f>
        <v/>
      </c>
      <c r="L289" s="5">
        <f>K289*0.08</f>
        <v/>
      </c>
      <c r="M289" s="5">
        <f>K289+L289</f>
        <v/>
      </c>
      <c r="N289" s="4" t="n">
        <v>38.24</v>
      </c>
      <c r="O289" s="5">
        <f>(E289*N289)*1.35*1.05*1.03*1.08</f>
        <v/>
      </c>
      <c r="P289" s="4" t="n">
        <v>38.24</v>
      </c>
      <c r="Q289" s="5">
        <f>(E289*P289)*1.35*1.05*1.03*1.08</f>
        <v/>
      </c>
      <c r="R289" s="4" t="n">
        <v>38.24</v>
      </c>
      <c r="S289" s="5">
        <f>(E289*R289)*1.35*1.05*1.03*1.08</f>
        <v/>
      </c>
      <c r="T289" s="4" t="n">
        <v>38.24</v>
      </c>
      <c r="U289" s="5">
        <f>(E289*T289)*1.35*1.05*1.03*1.08</f>
        <v/>
      </c>
      <c r="V289" s="4">
        <f>F289+N289+P289+R289+T289</f>
        <v/>
      </c>
      <c r="W289" s="5">
        <f>M289+O289+Q289+S289+U289</f>
        <v/>
      </c>
    </row>
    <row r="290">
      <c r="A290" t="inlineStr">
        <is>
          <t>Miramar</t>
        </is>
      </c>
      <c r="B290" t="inlineStr">
        <is>
          <t>Site Lead</t>
        </is>
      </c>
      <c r="C290" t="inlineStr">
        <is>
          <t>Non-SCA</t>
        </is>
      </c>
      <c r="D290" t="inlineStr">
        <is>
          <t>Exempt</t>
        </is>
      </c>
      <c r="E290" s="5" t="n">
        <v>80</v>
      </c>
      <c r="F290" s="4" t="n">
        <v>191.2</v>
      </c>
      <c r="G290" s="5">
        <f>E290*F290</f>
        <v/>
      </c>
      <c r="H290" s="5">
        <f>G290*0.35</f>
        <v/>
      </c>
      <c r="I290" s="5">
        <f>(G290+H290)*0.05</f>
        <v/>
      </c>
      <c r="J290" s="5">
        <f>(G290+H290+I290)*0.03</f>
        <v/>
      </c>
      <c r="K290" s="5">
        <f>G290+H290+I290+J290</f>
        <v/>
      </c>
      <c r="L290" s="5">
        <f>K290*0.08</f>
        <v/>
      </c>
      <c r="M290" s="5">
        <f>K290+L290</f>
        <v/>
      </c>
      <c r="N290" s="4" t="n">
        <v>38.24</v>
      </c>
      <c r="O290" s="5">
        <f>(E290*N290)*1.35*1.05*1.03*1.08</f>
        <v/>
      </c>
      <c r="P290" s="4" t="n">
        <v>38.24</v>
      </c>
      <c r="Q290" s="5">
        <f>(E290*P290)*1.35*1.05*1.03*1.08</f>
        <v/>
      </c>
      <c r="R290" s="4" t="n">
        <v>38.24</v>
      </c>
      <c r="S290" s="5">
        <f>(E290*R290)*1.35*1.05*1.03*1.08</f>
        <v/>
      </c>
      <c r="T290" s="4" t="n">
        <v>38.24</v>
      </c>
      <c r="U290" s="5">
        <f>(E290*T290)*1.35*1.05*1.03*1.08</f>
        <v/>
      </c>
      <c r="V290" s="4">
        <f>F290+N290+P290+R290+T290</f>
        <v/>
      </c>
      <c r="W290" s="5">
        <f>M290+O290+Q290+S290+U290</f>
        <v/>
      </c>
    </row>
    <row r="291">
      <c r="A291" t="inlineStr">
        <is>
          <t>Miramar</t>
        </is>
      </c>
      <c r="B291" t="inlineStr">
        <is>
          <t>Mission Coordinator</t>
        </is>
      </c>
      <c r="C291" t="inlineStr">
        <is>
          <t>Non-SCA</t>
        </is>
      </c>
      <c r="D291" t="inlineStr">
        <is>
          <t>Exempt</t>
        </is>
      </c>
      <c r="E291" s="5" t="n">
        <v>85</v>
      </c>
      <c r="F291" s="4" t="n">
        <v>382.4</v>
      </c>
      <c r="G291" s="5">
        <f>E291*F291</f>
        <v/>
      </c>
      <c r="H291" s="5">
        <f>G291*0.35</f>
        <v/>
      </c>
      <c r="I291" s="5">
        <f>(G291+H291)*0.05</f>
        <v/>
      </c>
      <c r="J291" s="5">
        <f>(G291+H291+I291)*0.03</f>
        <v/>
      </c>
      <c r="K291" s="5">
        <f>G291+H291+I291+J291</f>
        <v/>
      </c>
      <c r="L291" s="5">
        <f>K291*0.08</f>
        <v/>
      </c>
      <c r="M291" s="5">
        <f>K291+L291</f>
        <v/>
      </c>
      <c r="N291" s="4" t="n">
        <v>76.48</v>
      </c>
      <c r="O291" s="5">
        <f>(E291*N291)*1.35*1.05*1.03*1.08</f>
        <v/>
      </c>
      <c r="P291" s="4" t="n">
        <v>76.48</v>
      </c>
      <c r="Q291" s="5">
        <f>(E291*P291)*1.35*1.05*1.03*1.08</f>
        <v/>
      </c>
      <c r="R291" s="4" t="n">
        <v>76.48</v>
      </c>
      <c r="S291" s="5">
        <f>(E291*R291)*1.35*1.05*1.03*1.08</f>
        <v/>
      </c>
      <c r="T291" s="4" t="n">
        <v>76.48</v>
      </c>
      <c r="U291" s="5">
        <f>(E291*T291)*1.35*1.05*1.03*1.08</f>
        <v/>
      </c>
      <c r="V291" s="4">
        <f>F291+N291+P291+R291+T291</f>
        <v/>
      </c>
      <c r="W291" s="5">
        <f>M291+O291+Q291+S291+U291</f>
        <v/>
      </c>
    </row>
    <row r="292">
      <c r="A292" t="inlineStr">
        <is>
          <t>Miramar</t>
        </is>
      </c>
      <c r="B292" t="inlineStr">
        <is>
          <t>Computer Operator III</t>
        </is>
      </c>
      <c r="C292" t="inlineStr">
        <is>
          <t>SCA</t>
        </is>
      </c>
      <c r="D292" t="inlineStr">
        <is>
          <t>CBA</t>
        </is>
      </c>
      <c r="E292" s="5" t="n">
        <v>30.23</v>
      </c>
      <c r="F292" s="4" t="n">
        <v>573.6</v>
      </c>
      <c r="G292" s="5">
        <f>E292*F292</f>
        <v/>
      </c>
      <c r="H292" s="5">
        <f>G292*0.35</f>
        <v/>
      </c>
      <c r="I292" s="5">
        <f>(G292+H292)*0.05</f>
        <v/>
      </c>
      <c r="J292" s="5">
        <f>(G292+H292+I292)*0.03</f>
        <v/>
      </c>
      <c r="K292" s="5">
        <f>G292+H292+I292+J292</f>
        <v/>
      </c>
      <c r="L292" s="5">
        <f>K292*0.08</f>
        <v/>
      </c>
      <c r="M292" s="5">
        <f>K292+L292</f>
        <v/>
      </c>
      <c r="N292" s="4" t="n">
        <v>114.72</v>
      </c>
      <c r="O292" s="5">
        <f>(E292*N292)*1.35*1.05*1.03*1.08</f>
        <v/>
      </c>
      <c r="P292" s="4" t="n">
        <v>114.72</v>
      </c>
      <c r="Q292" s="5">
        <f>(E292*P292)*1.35*1.05*1.03*1.08</f>
        <v/>
      </c>
      <c r="R292" s="4" t="n">
        <v>114.72</v>
      </c>
      <c r="S292" s="5">
        <f>(E292*R292)*1.35*1.05*1.03*1.08</f>
        <v/>
      </c>
      <c r="T292" s="4" t="n">
        <v>114.72</v>
      </c>
      <c r="U292" s="5">
        <f>(E292*T292)*1.35*1.05*1.03*1.08</f>
        <v/>
      </c>
      <c r="V292" s="4">
        <f>F292+N292+P292+R292+T292</f>
        <v/>
      </c>
      <c r="W292" s="5">
        <f>M292+O292+Q292+S292+U292</f>
        <v/>
      </c>
    </row>
    <row r="293">
      <c r="A293" t="inlineStr">
        <is>
          <t>Miramar</t>
        </is>
      </c>
      <c r="B293" t="inlineStr">
        <is>
          <t>Computer Operator V</t>
        </is>
      </c>
      <c r="C293" t="inlineStr">
        <is>
          <t>SCA</t>
        </is>
      </c>
      <c r="D293" t="inlineStr">
        <is>
          <t>CBA</t>
        </is>
      </c>
      <c r="E293" s="5" t="n">
        <v>37.21</v>
      </c>
      <c r="F293" s="4" t="n">
        <v>191.2</v>
      </c>
      <c r="G293" s="5">
        <f>E293*F293</f>
        <v/>
      </c>
      <c r="H293" s="5">
        <f>G293*0.35</f>
        <v/>
      </c>
      <c r="I293" s="5">
        <f>(G293+H293)*0.05</f>
        <v/>
      </c>
      <c r="J293" s="5">
        <f>(G293+H293+I293)*0.03</f>
        <v/>
      </c>
      <c r="K293" s="5">
        <f>G293+H293+I293+J293</f>
        <v/>
      </c>
      <c r="L293" s="5">
        <f>K293*0.08</f>
        <v/>
      </c>
      <c r="M293" s="5">
        <f>K293+L293</f>
        <v/>
      </c>
      <c r="N293" s="4" t="n">
        <v>38.24</v>
      </c>
      <c r="O293" s="5">
        <f>(E293*N293)*1.35*1.05*1.03*1.08</f>
        <v/>
      </c>
      <c r="P293" s="4" t="n">
        <v>38.24</v>
      </c>
      <c r="Q293" s="5">
        <f>(E293*P293)*1.35*1.05*1.03*1.08</f>
        <v/>
      </c>
      <c r="R293" s="4" t="n">
        <v>38.24</v>
      </c>
      <c r="S293" s="5">
        <f>(E293*R293)*1.35*1.05*1.03*1.08</f>
        <v/>
      </c>
      <c r="T293" s="4" t="n">
        <v>38.24</v>
      </c>
      <c r="U293" s="5">
        <f>(E293*T293)*1.35*1.05*1.03*1.08</f>
        <v/>
      </c>
      <c r="V293" s="4">
        <f>F293+N293+P293+R293+T293</f>
        <v/>
      </c>
      <c r="W293" s="5">
        <f>M293+O293+Q293+S293+U293</f>
        <v/>
      </c>
    </row>
    <row r="294">
      <c r="A294" t="inlineStr">
        <is>
          <t>Miramar</t>
        </is>
      </c>
      <c r="B294" t="inlineStr">
        <is>
          <t>Tactical Data Link Analyst</t>
        </is>
      </c>
      <c r="C294" t="inlineStr">
        <is>
          <t>Non-SCA</t>
        </is>
      </c>
      <c r="D294" t="inlineStr">
        <is>
          <t>Exempt</t>
        </is>
      </c>
      <c r="E294" s="5" t="n">
        <v>75</v>
      </c>
      <c r="F294" s="4" t="n">
        <v>191.2</v>
      </c>
      <c r="G294" s="5">
        <f>E294*F294</f>
        <v/>
      </c>
      <c r="H294" s="5">
        <f>G294*0.35</f>
        <v/>
      </c>
      <c r="I294" s="5">
        <f>(G294+H294)*0.05</f>
        <v/>
      </c>
      <c r="J294" s="5">
        <f>(G294+H294+I294)*0.03</f>
        <v/>
      </c>
      <c r="K294" s="5">
        <f>G294+H294+I294+J294</f>
        <v/>
      </c>
      <c r="L294" s="5">
        <f>K294*0.08</f>
        <v/>
      </c>
      <c r="M294" s="5">
        <f>K294+L294</f>
        <v/>
      </c>
      <c r="N294" s="4" t="n">
        <v>38.24</v>
      </c>
      <c r="O294" s="5">
        <f>(E294*N294)*1.35*1.05*1.03*1.08</f>
        <v/>
      </c>
      <c r="P294" s="4" t="n">
        <v>38.24</v>
      </c>
      <c r="Q294" s="5">
        <f>(E294*P294)*1.35*1.05*1.03*1.08</f>
        <v/>
      </c>
      <c r="R294" s="4" t="n">
        <v>38.24</v>
      </c>
      <c r="S294" s="5">
        <f>(E294*R294)*1.35*1.05*1.03*1.08</f>
        <v/>
      </c>
      <c r="T294" s="4" t="n">
        <v>38.24</v>
      </c>
      <c r="U294" s="5">
        <f>(E294*T294)*1.35*1.05*1.03*1.08</f>
        <v/>
      </c>
      <c r="V294" s="4">
        <f>F294+N294+P294+R294+T294</f>
        <v/>
      </c>
      <c r="W294" s="5">
        <f>M294+O294+Q294+S294+U294</f>
        <v/>
      </c>
    </row>
    <row r="295">
      <c r="A295" t="inlineStr">
        <is>
          <t>Miramar</t>
        </is>
      </c>
      <c r="B295" t="inlineStr">
        <is>
          <t>Engineering Technician IV</t>
        </is>
      </c>
      <c r="C295" t="inlineStr">
        <is>
          <t>SCA</t>
        </is>
      </c>
      <c r="D295" t="inlineStr">
        <is>
          <t>SCLS</t>
        </is>
      </c>
      <c r="E295" s="5" t="n">
        <v>32.53</v>
      </c>
      <c r="F295" s="4" t="n">
        <v>191.2</v>
      </c>
      <c r="G295" s="5">
        <f>E295*F295</f>
        <v/>
      </c>
      <c r="H295" s="5">
        <f>G295*0.35</f>
        <v/>
      </c>
      <c r="I295" s="5">
        <f>(G295+H295)*0.05</f>
        <v/>
      </c>
      <c r="J295" s="5">
        <f>(G295+H295+I295)*0.03</f>
        <v/>
      </c>
      <c r="K295" s="5">
        <f>G295+H295+I295+J295</f>
        <v/>
      </c>
      <c r="L295" s="5">
        <f>K295*0.08</f>
        <v/>
      </c>
      <c r="M295" s="5">
        <f>K295+L295</f>
        <v/>
      </c>
      <c r="N295" s="4" t="n">
        <v>38.24</v>
      </c>
      <c r="O295" s="5">
        <f>(E295*N295)*1.35*1.05*1.03*1.08</f>
        <v/>
      </c>
      <c r="P295" s="4" t="n">
        <v>38.24</v>
      </c>
      <c r="Q295" s="5">
        <f>(E295*P295)*1.35*1.05*1.03*1.08</f>
        <v/>
      </c>
      <c r="R295" s="4" t="n">
        <v>38.24</v>
      </c>
      <c r="S295" s="5">
        <f>(E295*R295)*1.35*1.05*1.03*1.08</f>
        <v/>
      </c>
      <c r="T295" s="4" t="n">
        <v>38.24</v>
      </c>
      <c r="U295" s="5">
        <f>(E295*T295)*1.35*1.05*1.03*1.08</f>
        <v/>
      </c>
      <c r="V295" s="4">
        <f>F295+N295+P295+R295+T295</f>
        <v/>
      </c>
      <c r="W295" s="5">
        <f>M295+O295+Q295+S295+U295</f>
        <v/>
      </c>
    </row>
    <row r="296">
      <c r="A296" t="inlineStr">
        <is>
          <t>Miramar</t>
        </is>
      </c>
      <c r="B296" t="inlineStr">
        <is>
          <t>Electronics Technician II (INST)</t>
        </is>
      </c>
      <c r="C296" t="inlineStr">
        <is>
          <t>SCA</t>
        </is>
      </c>
      <c r="D296" t="inlineStr">
        <is>
          <t>CBA</t>
        </is>
      </c>
      <c r="E296" s="5" t="n">
        <v>36.22</v>
      </c>
      <c r="F296" s="4" t="n">
        <v>191.2</v>
      </c>
      <c r="G296" s="5">
        <f>E296*F296</f>
        <v/>
      </c>
      <c r="H296" s="5">
        <f>G296*0.35</f>
        <v/>
      </c>
      <c r="I296" s="5">
        <f>(G296+H296)*0.05</f>
        <v/>
      </c>
      <c r="J296" s="5">
        <f>(G296+H296+I296)*0.03</f>
        <v/>
      </c>
      <c r="K296" s="5">
        <f>G296+H296+I296+J296</f>
        <v/>
      </c>
      <c r="L296" s="5">
        <f>K296*0.08</f>
        <v/>
      </c>
      <c r="M296" s="5">
        <f>K296+L296</f>
        <v/>
      </c>
      <c r="N296" s="4" t="n">
        <v>38.24</v>
      </c>
      <c r="O296" s="5">
        <f>(E296*N296)*1.35*1.05*1.03*1.08</f>
        <v/>
      </c>
      <c r="P296" s="4" t="n">
        <v>38.24</v>
      </c>
      <c r="Q296" s="5">
        <f>(E296*P296)*1.35*1.05*1.03*1.08</f>
        <v/>
      </c>
      <c r="R296" s="4" t="n">
        <v>38.24</v>
      </c>
      <c r="S296" s="5">
        <f>(E296*R296)*1.35*1.05*1.03*1.08</f>
        <v/>
      </c>
      <c r="T296" s="4" t="n">
        <v>38.24</v>
      </c>
      <c r="U296" s="5">
        <f>(E296*T296)*1.35*1.05*1.03*1.08</f>
        <v/>
      </c>
      <c r="V296" s="4">
        <f>F296+N296+P296+R296+T296</f>
        <v/>
      </c>
      <c r="W296" s="5">
        <f>M296+O296+Q296+S296+U296</f>
        <v/>
      </c>
    </row>
    <row r="297">
      <c r="A297" t="inlineStr">
        <is>
          <t>Miramar</t>
        </is>
      </c>
      <c r="B297" t="inlineStr">
        <is>
          <t>Electronics Technician III</t>
        </is>
      </c>
      <c r="C297" t="inlineStr">
        <is>
          <t>SCA</t>
        </is>
      </c>
      <c r="D297" t="inlineStr">
        <is>
          <t>CBA</t>
        </is>
      </c>
      <c r="E297" s="5" t="n">
        <v>38.28</v>
      </c>
      <c r="F297" s="4" t="n">
        <v>382.4</v>
      </c>
      <c r="G297" s="5">
        <f>E297*F297</f>
        <v/>
      </c>
      <c r="H297" s="5">
        <f>G297*0.35</f>
        <v/>
      </c>
      <c r="I297" s="5">
        <f>(G297+H297)*0.05</f>
        <v/>
      </c>
      <c r="J297" s="5">
        <f>(G297+H297+I297)*0.03</f>
        <v/>
      </c>
      <c r="K297" s="5">
        <f>G297+H297+I297+J297</f>
        <v/>
      </c>
      <c r="L297" s="5">
        <f>K297*0.08</f>
        <v/>
      </c>
      <c r="M297" s="5">
        <f>K297+L297</f>
        <v/>
      </c>
      <c r="N297" s="4" t="n">
        <v>76.48</v>
      </c>
      <c r="O297" s="5">
        <f>(E297*N297)*1.35*1.05*1.03*1.08</f>
        <v/>
      </c>
      <c r="P297" s="4" t="n">
        <v>76.48</v>
      </c>
      <c r="Q297" s="5">
        <f>(E297*P297)*1.35*1.05*1.03*1.08</f>
        <v/>
      </c>
      <c r="R297" s="4" t="n">
        <v>76.48</v>
      </c>
      <c r="S297" s="5">
        <f>(E297*R297)*1.35*1.05*1.03*1.08</f>
        <v/>
      </c>
      <c r="T297" s="4" t="n">
        <v>76.48</v>
      </c>
      <c r="U297" s="5">
        <f>(E297*T297)*1.35*1.05*1.03*1.08</f>
        <v/>
      </c>
      <c r="V297" s="4">
        <f>F297+N297+P297+R297+T297</f>
        <v/>
      </c>
      <c r="W297" s="5">
        <f>M297+O297+Q297+S297+U297</f>
        <v/>
      </c>
    </row>
    <row r="298">
      <c r="A298" t="inlineStr">
        <is>
          <t>Miramar</t>
        </is>
      </c>
      <c r="B298" t="inlineStr">
        <is>
          <t>Computer Systems Analyst I</t>
        </is>
      </c>
      <c r="C298" t="inlineStr">
        <is>
          <t>SCA</t>
        </is>
      </c>
      <c r="D298" t="inlineStr">
        <is>
          <t>CBA</t>
        </is>
      </c>
      <c r="E298" s="5" t="n">
        <v>75</v>
      </c>
      <c r="F298" s="4" t="n">
        <v>191.2</v>
      </c>
      <c r="G298" s="5">
        <f>E298*F298</f>
        <v/>
      </c>
      <c r="H298" s="5">
        <f>G298*0.35</f>
        <v/>
      </c>
      <c r="I298" s="5">
        <f>(G298+H298)*0.05</f>
        <v/>
      </c>
      <c r="J298" s="5">
        <f>(G298+H298+I298)*0.03</f>
        <v/>
      </c>
      <c r="K298" s="5">
        <f>G298+H298+I298+J298</f>
        <v/>
      </c>
      <c r="L298" s="5">
        <f>K298*0.08</f>
        <v/>
      </c>
      <c r="M298" s="5">
        <f>K298+L298</f>
        <v/>
      </c>
      <c r="N298" s="4" t="n">
        <v>38.24</v>
      </c>
      <c r="O298" s="5">
        <f>(E298*N298)*1.35*1.05*1.03*1.08</f>
        <v/>
      </c>
      <c r="P298" s="4" t="n">
        <v>38.24</v>
      </c>
      <c r="Q298" s="5">
        <f>(E298*P298)*1.35*1.05*1.03*1.08</f>
        <v/>
      </c>
      <c r="R298" s="4" t="n">
        <v>38.24</v>
      </c>
      <c r="S298" s="5">
        <f>(E298*R298)*1.35*1.05*1.03*1.08</f>
        <v/>
      </c>
      <c r="T298" s="4" t="n">
        <v>38.24</v>
      </c>
      <c r="U298" s="5">
        <f>(E298*T298)*1.35*1.05*1.03*1.08</f>
        <v/>
      </c>
      <c r="V298" s="4">
        <f>F298+N298+P298+R298+T298</f>
        <v/>
      </c>
      <c r="W298" s="5">
        <f>M298+O298+Q298+S298+U298</f>
        <v/>
      </c>
    </row>
    <row r="299">
      <c r="A299" t="inlineStr">
        <is>
          <t>Miramar</t>
        </is>
      </c>
      <c r="B299" t="inlineStr">
        <is>
          <t>Computer Systems Analyst II</t>
        </is>
      </c>
      <c r="C299" t="inlineStr">
        <is>
          <t>SCA</t>
        </is>
      </c>
      <c r="D299" t="inlineStr">
        <is>
          <t>CBA</t>
        </is>
      </c>
      <c r="E299" s="5" t="n">
        <v>75</v>
      </c>
      <c r="F299" s="4" t="n">
        <v>191.2</v>
      </c>
      <c r="G299" s="5">
        <f>E299*F299</f>
        <v/>
      </c>
      <c r="H299" s="5">
        <f>G299*0.35</f>
        <v/>
      </c>
      <c r="I299" s="5">
        <f>(G299+H299)*0.05</f>
        <v/>
      </c>
      <c r="J299" s="5">
        <f>(G299+H299+I299)*0.03</f>
        <v/>
      </c>
      <c r="K299" s="5">
        <f>G299+H299+I299+J299</f>
        <v/>
      </c>
      <c r="L299" s="5">
        <f>K299*0.08</f>
        <v/>
      </c>
      <c r="M299" s="5">
        <f>K299+L299</f>
        <v/>
      </c>
      <c r="N299" s="4" t="n">
        <v>38.24</v>
      </c>
      <c r="O299" s="5">
        <f>(E299*N299)*1.35*1.05*1.03*1.08</f>
        <v/>
      </c>
      <c r="P299" s="4" t="n">
        <v>38.24</v>
      </c>
      <c r="Q299" s="5">
        <f>(E299*P299)*1.35*1.05*1.03*1.08</f>
        <v/>
      </c>
      <c r="R299" s="4" t="n">
        <v>38.24</v>
      </c>
      <c r="S299" s="5">
        <f>(E299*R299)*1.35*1.05*1.03*1.08</f>
        <v/>
      </c>
      <c r="T299" s="4" t="n">
        <v>38.24</v>
      </c>
      <c r="U299" s="5">
        <f>(E299*T299)*1.35*1.05*1.03*1.08</f>
        <v/>
      </c>
      <c r="V299" s="4">
        <f>F299+N299+P299+R299+T299</f>
        <v/>
      </c>
      <c r="W299" s="5">
        <f>M299+O299+Q299+S299+U299</f>
        <v/>
      </c>
    </row>
    <row r="300">
      <c r="A300" t="inlineStr">
        <is>
          <t>Miramar</t>
        </is>
      </c>
      <c r="B300" t="inlineStr">
        <is>
          <t>Security Coordinator</t>
        </is>
      </c>
      <c r="C300" t="inlineStr">
        <is>
          <t>Non-SCA</t>
        </is>
      </c>
      <c r="D300" t="inlineStr">
        <is>
          <t>Exempt</t>
        </is>
      </c>
      <c r="E300" s="5" t="n">
        <v>70</v>
      </c>
      <c r="F300" s="4" t="n">
        <v>382.4</v>
      </c>
      <c r="G300" s="5">
        <f>E300*F300</f>
        <v/>
      </c>
      <c r="H300" s="5">
        <f>G300*0.35</f>
        <v/>
      </c>
      <c r="I300" s="5">
        <f>(G300+H300)*0.05</f>
        <v/>
      </c>
      <c r="J300" s="5">
        <f>(G300+H300+I300)*0.03</f>
        <v/>
      </c>
      <c r="K300" s="5">
        <f>G300+H300+I300+J300</f>
        <v/>
      </c>
      <c r="L300" s="5">
        <f>K300*0.08</f>
        <v/>
      </c>
      <c r="M300" s="5">
        <f>K300+L300</f>
        <v/>
      </c>
      <c r="N300" s="4" t="n">
        <v>76.48</v>
      </c>
      <c r="O300" s="5">
        <f>(E300*N300)*1.35*1.05*1.03*1.08</f>
        <v/>
      </c>
      <c r="P300" s="4" t="n">
        <v>76.48</v>
      </c>
      <c r="Q300" s="5">
        <f>(E300*P300)*1.35*1.05*1.03*1.08</f>
        <v/>
      </c>
      <c r="R300" s="4" t="n">
        <v>76.48</v>
      </c>
      <c r="S300" s="5">
        <f>(E300*R300)*1.35*1.05*1.03*1.08</f>
        <v/>
      </c>
      <c r="T300" s="4" t="n">
        <v>76.48</v>
      </c>
      <c r="U300" s="5">
        <f>(E300*T300)*1.35*1.05*1.03*1.08</f>
        <v/>
      </c>
      <c r="V300" s="4">
        <f>F300+N300+P300+R300+T300</f>
        <v/>
      </c>
      <c r="W300" s="5">
        <f>M300+O300+Q300+S300+U300</f>
        <v/>
      </c>
    </row>
    <row r="301">
      <c r="A301" t="inlineStr">
        <is>
          <t>El Centro</t>
        </is>
      </c>
      <c r="B301" t="inlineStr">
        <is>
          <t>Electronics Technician II</t>
        </is>
      </c>
      <c r="C301" t="inlineStr">
        <is>
          <t>SCA</t>
        </is>
      </c>
      <c r="D301" t="inlineStr">
        <is>
          <t>CBA</t>
        </is>
      </c>
      <c r="E301" s="5" t="n">
        <v>34.45</v>
      </c>
      <c r="F301" s="4" t="n">
        <v>764.8000000000001</v>
      </c>
      <c r="G301" s="5">
        <f>E301*F301</f>
        <v/>
      </c>
      <c r="H301" s="5">
        <f>G301*0.35</f>
        <v/>
      </c>
      <c r="I301" s="5">
        <f>(G301+H301)*0.05</f>
        <v/>
      </c>
      <c r="J301" s="5">
        <f>(G301+H301+I301)*0.03</f>
        <v/>
      </c>
      <c r="K301" s="5">
        <f>G301+H301+I301+J301</f>
        <v/>
      </c>
      <c r="L301" s="5">
        <f>K301*0.08</f>
        <v/>
      </c>
      <c r="M301" s="5">
        <f>K301+L301</f>
        <v/>
      </c>
      <c r="N301" s="4" t="n">
        <v>152.96</v>
      </c>
      <c r="O301" s="5">
        <f>(E301*N301)*1.35*1.05*1.03*1.08</f>
        <v/>
      </c>
      <c r="P301" s="4" t="n">
        <v>152.96</v>
      </c>
      <c r="Q301" s="5">
        <f>(E301*P301)*1.35*1.05*1.03*1.08</f>
        <v/>
      </c>
      <c r="R301" s="4" t="n">
        <v>152.96</v>
      </c>
      <c r="S301" s="5">
        <f>(E301*R301)*1.35*1.05*1.03*1.08</f>
        <v/>
      </c>
      <c r="T301" s="4" t="n">
        <v>152.96</v>
      </c>
      <c r="U301" s="5">
        <f>(E301*T301)*1.35*1.05*1.03*1.08</f>
        <v/>
      </c>
      <c r="V301" s="4">
        <f>F301+N301+P301+R301+T301</f>
        <v/>
      </c>
      <c r="W301" s="5">
        <f>M301+O301+Q301+S301+U301</f>
        <v/>
      </c>
    </row>
    <row r="302">
      <c r="A302" t="inlineStr">
        <is>
          <t>El Centro</t>
        </is>
      </c>
      <c r="B302" t="inlineStr">
        <is>
          <t>Electronics Technician III</t>
        </is>
      </c>
      <c r="C302" t="inlineStr">
        <is>
          <t>SCA</t>
        </is>
      </c>
      <c r="D302" t="inlineStr">
        <is>
          <t>CBA</t>
        </is>
      </c>
      <c r="E302" s="5" t="n">
        <v>36.58</v>
      </c>
      <c r="F302" s="4" t="n">
        <v>573.6</v>
      </c>
      <c r="G302" s="5">
        <f>E302*F302</f>
        <v/>
      </c>
      <c r="H302" s="5">
        <f>G302*0.35</f>
        <v/>
      </c>
      <c r="I302" s="5">
        <f>(G302+H302)*0.05</f>
        <v/>
      </c>
      <c r="J302" s="5">
        <f>(G302+H302+I302)*0.03</f>
        <v/>
      </c>
      <c r="K302" s="5">
        <f>G302+H302+I302+J302</f>
        <v/>
      </c>
      <c r="L302" s="5">
        <f>K302*0.08</f>
        <v/>
      </c>
      <c r="M302" s="5">
        <f>K302+L302</f>
        <v/>
      </c>
      <c r="N302" s="4" t="n">
        <v>114.72</v>
      </c>
      <c r="O302" s="5">
        <f>(E302*N302)*1.35*1.05*1.03*1.08</f>
        <v/>
      </c>
      <c r="P302" s="4" t="n">
        <v>114.72</v>
      </c>
      <c r="Q302" s="5">
        <f>(E302*P302)*1.35*1.05*1.03*1.08</f>
        <v/>
      </c>
      <c r="R302" s="4" t="n">
        <v>114.72</v>
      </c>
      <c r="S302" s="5">
        <f>(E302*R302)*1.35*1.05*1.03*1.08</f>
        <v/>
      </c>
      <c r="T302" s="4" t="n">
        <v>114.72</v>
      </c>
      <c r="U302" s="5">
        <f>(E302*T302)*1.35*1.05*1.03*1.08</f>
        <v/>
      </c>
      <c r="V302" s="4">
        <f>F302+N302+P302+R302+T302</f>
        <v/>
      </c>
      <c r="W302" s="5">
        <f>M302+O302+Q302+S302+U302</f>
        <v/>
      </c>
    </row>
    <row r="303">
      <c r="A303" t="inlineStr">
        <is>
          <t>Lemoore</t>
        </is>
      </c>
      <c r="B303" t="inlineStr">
        <is>
          <t>Site Lead</t>
        </is>
      </c>
      <c r="C303" t="inlineStr">
        <is>
          <t>Non-SCA</t>
        </is>
      </c>
      <c r="D303" t="inlineStr">
        <is>
          <t>Exempt</t>
        </is>
      </c>
      <c r="E303" s="5" t="n">
        <v>80</v>
      </c>
      <c r="F303" s="4" t="n">
        <v>191.2</v>
      </c>
      <c r="G303" s="5">
        <f>E303*F303</f>
        <v/>
      </c>
      <c r="H303" s="5">
        <f>G303*0.35</f>
        <v/>
      </c>
      <c r="I303" s="5">
        <f>(G303+H303)*0.05</f>
        <v/>
      </c>
      <c r="J303" s="5">
        <f>(G303+H303+I303)*0.03</f>
        <v/>
      </c>
      <c r="K303" s="5">
        <f>G303+H303+I303+J303</f>
        <v/>
      </c>
      <c r="L303" s="5">
        <f>K303*0.08</f>
        <v/>
      </c>
      <c r="M303" s="5">
        <f>K303+L303</f>
        <v/>
      </c>
      <c r="N303" s="4" t="n">
        <v>38.24</v>
      </c>
      <c r="O303" s="5">
        <f>(E303*N303)*1.35*1.05*1.03*1.08</f>
        <v/>
      </c>
      <c r="P303" s="4" t="n">
        <v>38.24</v>
      </c>
      <c r="Q303" s="5">
        <f>(E303*P303)*1.35*1.05*1.03*1.08</f>
        <v/>
      </c>
      <c r="R303" s="4" t="n">
        <v>38.24</v>
      </c>
      <c r="S303" s="5">
        <f>(E303*R303)*1.35*1.05*1.03*1.08</f>
        <v/>
      </c>
      <c r="T303" s="4" t="n">
        <v>38.24</v>
      </c>
      <c r="U303" s="5">
        <f>(E303*T303)*1.35*1.05*1.03*1.08</f>
        <v/>
      </c>
      <c r="V303" s="4">
        <f>F303+N303+P303+R303+T303</f>
        <v/>
      </c>
      <c r="W303" s="5">
        <f>M303+O303+Q303+S303+U303</f>
        <v/>
      </c>
    </row>
    <row r="304">
      <c r="A304" t="inlineStr">
        <is>
          <t>Lemoore</t>
        </is>
      </c>
      <c r="B304" t="inlineStr">
        <is>
          <t>Mission Coordinator</t>
        </is>
      </c>
      <c r="C304" t="inlineStr">
        <is>
          <t>Non-SCA</t>
        </is>
      </c>
      <c r="D304" t="inlineStr">
        <is>
          <t>Exempt</t>
        </is>
      </c>
      <c r="E304" s="5" t="n">
        <v>85</v>
      </c>
      <c r="F304" s="4" t="n">
        <v>764.8000000000001</v>
      </c>
      <c r="G304" s="5">
        <f>E304*F304</f>
        <v/>
      </c>
      <c r="H304" s="5">
        <f>G304*0.35</f>
        <v/>
      </c>
      <c r="I304" s="5">
        <f>(G304+H304)*0.05</f>
        <v/>
      </c>
      <c r="J304" s="5">
        <f>(G304+H304+I304)*0.03</f>
        <v/>
      </c>
      <c r="K304" s="5">
        <f>G304+H304+I304+J304</f>
        <v/>
      </c>
      <c r="L304" s="5">
        <f>K304*0.08</f>
        <v/>
      </c>
      <c r="M304" s="5">
        <f>K304+L304</f>
        <v/>
      </c>
      <c r="N304" s="4" t="n">
        <v>152.96</v>
      </c>
      <c r="O304" s="5">
        <f>(E304*N304)*1.35*1.05*1.03*1.08</f>
        <v/>
      </c>
      <c r="P304" s="4" t="n">
        <v>152.96</v>
      </c>
      <c r="Q304" s="5">
        <f>(E304*P304)*1.35*1.05*1.03*1.08</f>
        <v/>
      </c>
      <c r="R304" s="4" t="n">
        <v>152.96</v>
      </c>
      <c r="S304" s="5">
        <f>(E304*R304)*1.35*1.05*1.03*1.08</f>
        <v/>
      </c>
      <c r="T304" s="4" t="n">
        <v>152.96</v>
      </c>
      <c r="U304" s="5">
        <f>(E304*T304)*1.35*1.05*1.03*1.08</f>
        <v/>
      </c>
      <c r="V304" s="4">
        <f>F304+N304+P304+R304+T304</f>
        <v/>
      </c>
      <c r="W304" s="5">
        <f>M304+O304+Q304+S304+U304</f>
        <v/>
      </c>
    </row>
    <row r="305">
      <c r="A305" t="inlineStr">
        <is>
          <t>Lemoore</t>
        </is>
      </c>
      <c r="B305" t="inlineStr">
        <is>
          <t>Computer Operator III</t>
        </is>
      </c>
      <c r="C305" t="inlineStr">
        <is>
          <t>SCA</t>
        </is>
      </c>
      <c r="D305" t="inlineStr">
        <is>
          <t>SCLS</t>
        </is>
      </c>
      <c r="E305" s="5" t="n">
        <v>28.91</v>
      </c>
      <c r="F305" s="4" t="n">
        <v>191.2</v>
      </c>
      <c r="G305" s="5">
        <f>E305*F305</f>
        <v/>
      </c>
      <c r="H305" s="5">
        <f>G305*0.35</f>
        <v/>
      </c>
      <c r="I305" s="5">
        <f>(G305+H305)*0.05</f>
        <v/>
      </c>
      <c r="J305" s="5">
        <f>(G305+H305+I305)*0.03</f>
        <v/>
      </c>
      <c r="K305" s="5">
        <f>G305+H305+I305+J305</f>
        <v/>
      </c>
      <c r="L305" s="5">
        <f>K305*0.08</f>
        <v/>
      </c>
      <c r="M305" s="5">
        <f>K305+L305</f>
        <v/>
      </c>
      <c r="N305" s="4" t="n">
        <v>38.24</v>
      </c>
      <c r="O305" s="5">
        <f>(E305*N305)*1.35*1.05*1.03*1.08</f>
        <v/>
      </c>
      <c r="P305" s="4" t="n">
        <v>38.24</v>
      </c>
      <c r="Q305" s="5">
        <f>(E305*P305)*1.35*1.05*1.03*1.08</f>
        <v/>
      </c>
      <c r="R305" s="4" t="n">
        <v>38.24</v>
      </c>
      <c r="S305" s="5">
        <f>(E305*R305)*1.35*1.05*1.03*1.08</f>
        <v/>
      </c>
      <c r="T305" s="4" t="n">
        <v>38.24</v>
      </c>
      <c r="U305" s="5">
        <f>(E305*T305)*1.35*1.05*1.03*1.08</f>
        <v/>
      </c>
      <c r="V305" s="4">
        <f>F305+N305+P305+R305+T305</f>
        <v/>
      </c>
      <c r="W305" s="5">
        <f>M305+O305+Q305+S305+U305</f>
        <v/>
      </c>
    </row>
    <row r="306">
      <c r="A306" t="inlineStr">
        <is>
          <t>Lemoore</t>
        </is>
      </c>
      <c r="B306" t="inlineStr">
        <is>
          <t>Tactical Data Link Analyst</t>
        </is>
      </c>
      <c r="C306" t="inlineStr">
        <is>
          <t>Non-SCA</t>
        </is>
      </c>
      <c r="D306" t="inlineStr">
        <is>
          <t>Exempt</t>
        </is>
      </c>
      <c r="E306" s="5" t="n">
        <v>75</v>
      </c>
      <c r="F306" s="4" t="n">
        <v>382.4</v>
      </c>
      <c r="G306" s="5">
        <f>E306*F306</f>
        <v/>
      </c>
      <c r="H306" s="5">
        <f>G306*0.35</f>
        <v/>
      </c>
      <c r="I306" s="5">
        <f>(G306+H306)*0.05</f>
        <v/>
      </c>
      <c r="J306" s="5">
        <f>(G306+H306+I306)*0.03</f>
        <v/>
      </c>
      <c r="K306" s="5">
        <f>G306+H306+I306+J306</f>
        <v/>
      </c>
      <c r="L306" s="5">
        <f>K306*0.08</f>
        <v/>
      </c>
      <c r="M306" s="5">
        <f>K306+L306</f>
        <v/>
      </c>
      <c r="N306" s="4" t="n">
        <v>76.48</v>
      </c>
      <c r="O306" s="5">
        <f>(E306*N306)*1.35*1.05*1.03*1.08</f>
        <v/>
      </c>
      <c r="P306" s="4" t="n">
        <v>76.48</v>
      </c>
      <c r="Q306" s="5">
        <f>(E306*P306)*1.35*1.05*1.03*1.08</f>
        <v/>
      </c>
      <c r="R306" s="4" t="n">
        <v>76.48</v>
      </c>
      <c r="S306" s="5">
        <f>(E306*R306)*1.35*1.05*1.03*1.08</f>
        <v/>
      </c>
      <c r="T306" s="4" t="n">
        <v>76.48</v>
      </c>
      <c r="U306" s="5">
        <f>(E306*T306)*1.35*1.05*1.03*1.08</f>
        <v/>
      </c>
      <c r="V306" s="4">
        <f>F306+N306+P306+R306+T306</f>
        <v/>
      </c>
      <c r="W306" s="5">
        <f>M306+O306+Q306+S306+U306</f>
        <v/>
      </c>
    </row>
    <row r="307">
      <c r="A307" t="inlineStr">
        <is>
          <t>Lemoore</t>
        </is>
      </c>
      <c r="B307" t="inlineStr">
        <is>
          <t>Electronics Technician III</t>
        </is>
      </c>
      <c r="C307" t="inlineStr">
        <is>
          <t>SCA</t>
        </is>
      </c>
      <c r="D307" t="inlineStr">
        <is>
          <t>CBA</t>
        </is>
      </c>
      <c r="E307" s="5" t="n">
        <v>36.58</v>
      </c>
      <c r="F307" s="4" t="n">
        <v>1147.2</v>
      </c>
      <c r="G307" s="5">
        <f>E307*F307</f>
        <v/>
      </c>
      <c r="H307" s="5">
        <f>G307*0.35</f>
        <v/>
      </c>
      <c r="I307" s="5">
        <f>(G307+H307)*0.05</f>
        <v/>
      </c>
      <c r="J307" s="5">
        <f>(G307+H307+I307)*0.03</f>
        <v/>
      </c>
      <c r="K307" s="5">
        <f>G307+H307+I307+J307</f>
        <v/>
      </c>
      <c r="L307" s="5">
        <f>K307*0.08</f>
        <v/>
      </c>
      <c r="M307" s="5">
        <f>K307+L307</f>
        <v/>
      </c>
      <c r="N307" s="4" t="n">
        <v>229.44</v>
      </c>
      <c r="O307" s="5">
        <f>(E307*N307)*1.35*1.05*1.03*1.08</f>
        <v/>
      </c>
      <c r="P307" s="4" t="n">
        <v>229.44</v>
      </c>
      <c r="Q307" s="5">
        <f>(E307*P307)*1.35*1.05*1.03*1.08</f>
        <v/>
      </c>
      <c r="R307" s="4" t="n">
        <v>229.44</v>
      </c>
      <c r="S307" s="5">
        <f>(E307*R307)*1.35*1.05*1.03*1.08</f>
        <v/>
      </c>
      <c r="T307" s="4" t="n">
        <v>229.44</v>
      </c>
      <c r="U307" s="5">
        <f>(E307*T307)*1.35*1.05*1.03*1.08</f>
        <v/>
      </c>
      <c r="V307" s="4">
        <f>F307+N307+P307+R307+T307</f>
        <v/>
      </c>
      <c r="W307" s="5">
        <f>M307+O307+Q307+S307+U307</f>
        <v/>
      </c>
    </row>
    <row r="308">
      <c r="A308" t="inlineStr">
        <is>
          <t>Lemoore</t>
        </is>
      </c>
      <c r="B308" t="inlineStr">
        <is>
          <t>Electronics Technician II</t>
        </is>
      </c>
      <c r="C308" t="inlineStr">
        <is>
          <t>SCA</t>
        </is>
      </c>
      <c r="D308" t="inlineStr">
        <is>
          <t>CBA</t>
        </is>
      </c>
      <c r="E308" s="5" t="n">
        <v>34.45</v>
      </c>
      <c r="F308" s="4" t="n">
        <v>573.6</v>
      </c>
      <c r="G308" s="5">
        <f>E308*F308</f>
        <v/>
      </c>
      <c r="H308" s="5">
        <f>G308*0.35</f>
        <v/>
      </c>
      <c r="I308" s="5">
        <f>(G308+H308)*0.05</f>
        <v/>
      </c>
      <c r="J308" s="5">
        <f>(G308+H308+I308)*0.03</f>
        <v/>
      </c>
      <c r="K308" s="5">
        <f>G308+H308+I308+J308</f>
        <v/>
      </c>
      <c r="L308" s="5">
        <f>K308*0.08</f>
        <v/>
      </c>
      <c r="M308" s="5">
        <f>K308+L308</f>
        <v/>
      </c>
      <c r="N308" s="4" t="n">
        <v>114.72</v>
      </c>
      <c r="O308" s="5">
        <f>(E308*N308)*1.35*1.05*1.03*1.08</f>
        <v/>
      </c>
      <c r="P308" s="4" t="n">
        <v>114.72</v>
      </c>
      <c r="Q308" s="5">
        <f>(E308*P308)*1.35*1.05*1.03*1.08</f>
        <v/>
      </c>
      <c r="R308" s="4" t="n">
        <v>114.72</v>
      </c>
      <c r="S308" s="5">
        <f>(E308*R308)*1.35*1.05*1.03*1.08</f>
        <v/>
      </c>
      <c r="T308" s="4" t="n">
        <v>114.72</v>
      </c>
      <c r="U308" s="5">
        <f>(E308*T308)*1.35*1.05*1.03*1.08</f>
        <v/>
      </c>
      <c r="V308" s="4">
        <f>F308+N308+P308+R308+T308</f>
        <v/>
      </c>
      <c r="W308" s="5">
        <f>M308+O308+Q308+S308+U308</f>
        <v/>
      </c>
    </row>
    <row r="309">
      <c r="A309" t="inlineStr">
        <is>
          <t>Lemoore</t>
        </is>
      </c>
      <c r="B309" t="inlineStr">
        <is>
          <t>Engineering Technician IV</t>
        </is>
      </c>
      <c r="C309" t="inlineStr">
        <is>
          <t>SCA</t>
        </is>
      </c>
      <c r="D309" t="inlineStr">
        <is>
          <t>SCLS</t>
        </is>
      </c>
      <c r="E309" s="5" t="n">
        <v>31.97</v>
      </c>
      <c r="F309" s="4" t="n">
        <v>191.2</v>
      </c>
      <c r="G309" s="5">
        <f>E309*F309</f>
        <v/>
      </c>
      <c r="H309" s="5">
        <f>G309*0.35</f>
        <v/>
      </c>
      <c r="I309" s="5">
        <f>(G309+H309)*0.05</f>
        <v/>
      </c>
      <c r="J309" s="5">
        <f>(G309+H309+I309)*0.03</f>
        <v/>
      </c>
      <c r="K309" s="5">
        <f>G309+H309+I309+J309</f>
        <v/>
      </c>
      <c r="L309" s="5">
        <f>K309*0.08</f>
        <v/>
      </c>
      <c r="M309" s="5">
        <f>K309+L309</f>
        <v/>
      </c>
      <c r="N309" s="4" t="n">
        <v>38.24</v>
      </c>
      <c r="O309" s="5">
        <f>(E309*N309)*1.35*1.05*1.03*1.08</f>
        <v/>
      </c>
      <c r="P309" s="4" t="n">
        <v>38.24</v>
      </c>
      <c r="Q309" s="5">
        <f>(E309*P309)*1.35*1.05*1.03*1.08</f>
        <v/>
      </c>
      <c r="R309" s="4" t="n">
        <v>38.24</v>
      </c>
      <c r="S309" s="5">
        <f>(E309*R309)*1.35*1.05*1.03*1.08</f>
        <v/>
      </c>
      <c r="T309" s="4" t="n">
        <v>38.24</v>
      </c>
      <c r="U309" s="5">
        <f>(E309*T309)*1.35*1.05*1.03*1.08</f>
        <v/>
      </c>
      <c r="V309" s="4">
        <f>F309+N309+P309+R309+T309</f>
        <v/>
      </c>
      <c r="W309" s="5">
        <f>M309+O309+Q309+S309+U309</f>
        <v/>
      </c>
    </row>
    <row r="310">
      <c r="A310" t="inlineStr">
        <is>
          <t>SCTTR</t>
        </is>
      </c>
      <c r="B310" t="inlineStr">
        <is>
          <t>Site Manager</t>
        </is>
      </c>
      <c r="C310" t="inlineStr">
        <is>
          <t>Non-SCA</t>
        </is>
      </c>
      <c r="D310" t="inlineStr">
        <is>
          <t>Exempt</t>
        </is>
      </c>
      <c r="E310" s="5" t="n">
        <v>95</v>
      </c>
      <c r="F310" s="4" t="n">
        <v>191.2</v>
      </c>
      <c r="G310" s="5">
        <f>E310*F310</f>
        <v/>
      </c>
      <c r="H310" s="5">
        <f>G310*0.35</f>
        <v/>
      </c>
      <c r="I310" s="5">
        <f>(G310+H310)*0.05</f>
        <v/>
      </c>
      <c r="J310" s="5">
        <f>(G310+H310+I310)*0.03</f>
        <v/>
      </c>
      <c r="K310" s="5">
        <f>G310+H310+I310+J310</f>
        <v/>
      </c>
      <c r="L310" s="5">
        <f>K310*0.08</f>
        <v/>
      </c>
      <c r="M310" s="5">
        <f>K310+L310</f>
        <v/>
      </c>
      <c r="N310" s="4" t="n">
        <v>38.24</v>
      </c>
      <c r="O310" s="5">
        <f>(E310*N310)*1.35*1.05*1.03*1.08</f>
        <v/>
      </c>
      <c r="P310" s="4" t="n">
        <v>38.24</v>
      </c>
      <c r="Q310" s="5">
        <f>(E310*P310)*1.35*1.05*1.03*1.08</f>
        <v/>
      </c>
      <c r="R310" s="4" t="n">
        <v>38.24</v>
      </c>
      <c r="S310" s="5">
        <f>(E310*R310)*1.35*1.05*1.03*1.08</f>
        <v/>
      </c>
      <c r="T310" s="4" t="n">
        <v>38.24</v>
      </c>
      <c r="U310" s="5">
        <f>(E310*T310)*1.35*1.05*1.03*1.08</f>
        <v/>
      </c>
      <c r="V310" s="4">
        <f>F310+N310+P310+R310+T310</f>
        <v/>
      </c>
      <c r="W310" s="5">
        <f>M310+O310+Q310+S310+U310</f>
        <v/>
      </c>
    </row>
    <row r="311">
      <c r="A311" t="inlineStr">
        <is>
          <t>SCTTR</t>
        </is>
      </c>
      <c r="B311" t="inlineStr">
        <is>
          <t>Mission Coordinator</t>
        </is>
      </c>
      <c r="C311" t="inlineStr">
        <is>
          <t>Non-SCA</t>
        </is>
      </c>
      <c r="D311" t="inlineStr">
        <is>
          <t>Exempt</t>
        </is>
      </c>
      <c r="E311" s="5" t="n">
        <v>85</v>
      </c>
      <c r="F311" s="4" t="n">
        <v>2868</v>
      </c>
      <c r="G311" s="5">
        <f>E311*F311</f>
        <v/>
      </c>
      <c r="H311" s="5">
        <f>G311*0.35</f>
        <v/>
      </c>
      <c r="I311" s="5">
        <f>(G311+H311)*0.05</f>
        <v/>
      </c>
      <c r="J311" s="5">
        <f>(G311+H311+I311)*0.03</f>
        <v/>
      </c>
      <c r="K311" s="5">
        <f>G311+H311+I311+J311</f>
        <v/>
      </c>
      <c r="L311" s="5">
        <f>K311*0.08</f>
        <v/>
      </c>
      <c r="M311" s="5">
        <f>K311+L311</f>
        <v/>
      </c>
      <c r="N311" s="4" t="n">
        <v>573.6</v>
      </c>
      <c r="O311" s="5">
        <f>(E311*N311)*1.35*1.05*1.03*1.08</f>
        <v/>
      </c>
      <c r="P311" s="4" t="n">
        <v>573.6</v>
      </c>
      <c r="Q311" s="5">
        <f>(E311*P311)*1.35*1.05*1.03*1.08</f>
        <v/>
      </c>
      <c r="R311" s="4" t="n">
        <v>573.6</v>
      </c>
      <c r="S311" s="5">
        <f>(E311*R311)*1.35*1.05*1.03*1.08</f>
        <v/>
      </c>
      <c r="T311" s="4" t="n">
        <v>573.6</v>
      </c>
      <c r="U311" s="5">
        <f>(E311*T311)*1.35*1.05*1.03*1.08</f>
        <v/>
      </c>
      <c r="V311" s="4">
        <f>F311+N311+P311+R311+T311</f>
        <v/>
      </c>
      <c r="W311" s="5">
        <f>M311+O311+Q311+S311+U311</f>
        <v/>
      </c>
    </row>
    <row r="312">
      <c r="A312" t="inlineStr">
        <is>
          <t>SCTTR</t>
        </is>
      </c>
      <c r="B312" t="inlineStr">
        <is>
          <t>Mission Coordinator, Senior</t>
        </is>
      </c>
      <c r="C312" t="inlineStr">
        <is>
          <t>Non-SCA</t>
        </is>
      </c>
      <c r="D312" t="inlineStr">
        <is>
          <t>Exempt</t>
        </is>
      </c>
      <c r="E312" s="5" t="n">
        <v>95</v>
      </c>
      <c r="F312" s="4" t="n">
        <v>382.4</v>
      </c>
      <c r="G312" s="5">
        <f>E312*F312</f>
        <v/>
      </c>
      <c r="H312" s="5">
        <f>G312*0.35</f>
        <v/>
      </c>
      <c r="I312" s="5">
        <f>(G312+H312)*0.05</f>
        <v/>
      </c>
      <c r="J312" s="5">
        <f>(G312+H312+I312)*0.03</f>
        <v/>
      </c>
      <c r="K312" s="5">
        <f>G312+H312+I312+J312</f>
        <v/>
      </c>
      <c r="L312" s="5">
        <f>K312*0.08</f>
        <v/>
      </c>
      <c r="M312" s="5">
        <f>K312+L312</f>
        <v/>
      </c>
      <c r="N312" s="4" t="n">
        <v>76.48</v>
      </c>
      <c r="O312" s="5">
        <f>(E312*N312)*1.35*1.05*1.03*1.08</f>
        <v/>
      </c>
      <c r="P312" s="4" t="n">
        <v>76.48</v>
      </c>
      <c r="Q312" s="5">
        <f>(E312*P312)*1.35*1.05*1.03*1.08</f>
        <v/>
      </c>
      <c r="R312" s="4" t="n">
        <v>76.48</v>
      </c>
      <c r="S312" s="5">
        <f>(E312*R312)*1.35*1.05*1.03*1.08</f>
        <v/>
      </c>
      <c r="T312" s="4" t="n">
        <v>76.48</v>
      </c>
      <c r="U312" s="5">
        <f>(E312*T312)*1.35*1.05*1.03*1.08</f>
        <v/>
      </c>
      <c r="V312" s="4">
        <f>F312+N312+P312+R312+T312</f>
        <v/>
      </c>
      <c r="W312" s="5">
        <f>M312+O312+Q312+S312+U312</f>
        <v/>
      </c>
    </row>
    <row r="313">
      <c r="A313" t="inlineStr">
        <is>
          <t>SCTTR</t>
        </is>
      </c>
      <c r="B313" t="inlineStr">
        <is>
          <t>Technical Support Specialist</t>
        </is>
      </c>
      <c r="C313" t="inlineStr">
        <is>
          <t>Non-SCA</t>
        </is>
      </c>
      <c r="D313" t="inlineStr">
        <is>
          <t>Exempt</t>
        </is>
      </c>
      <c r="E313" s="5" t="n">
        <v>80</v>
      </c>
      <c r="F313" s="4" t="n">
        <v>1912</v>
      </c>
      <c r="G313" s="5">
        <f>E313*F313</f>
        <v/>
      </c>
      <c r="H313" s="5">
        <f>G313*0.35</f>
        <v/>
      </c>
      <c r="I313" s="5">
        <f>(G313+H313)*0.05</f>
        <v/>
      </c>
      <c r="J313" s="5">
        <f>(G313+H313+I313)*0.03</f>
        <v/>
      </c>
      <c r="K313" s="5">
        <f>G313+H313+I313+J313</f>
        <v/>
      </c>
      <c r="L313" s="5">
        <f>K313*0.08</f>
        <v/>
      </c>
      <c r="M313" s="5">
        <f>K313+L313</f>
        <v/>
      </c>
      <c r="N313" s="4" t="n">
        <v>382.4</v>
      </c>
      <c r="O313" s="5">
        <f>(E313*N313)*1.35*1.05*1.03*1.08</f>
        <v/>
      </c>
      <c r="P313" s="4" t="n">
        <v>382.4</v>
      </c>
      <c r="Q313" s="5">
        <f>(E313*P313)*1.35*1.05*1.03*1.08</f>
        <v/>
      </c>
      <c r="R313" s="4" t="n">
        <v>382.4</v>
      </c>
      <c r="S313" s="5">
        <f>(E313*R313)*1.35*1.05*1.03*1.08</f>
        <v/>
      </c>
      <c r="T313" s="4" t="n">
        <v>382.4</v>
      </c>
      <c r="U313" s="5">
        <f>(E313*T313)*1.35*1.05*1.03*1.08</f>
        <v/>
      </c>
      <c r="V313" s="4">
        <f>F313+N313+P313+R313+T313</f>
        <v/>
      </c>
      <c r="W313" s="5">
        <f>M313+O313+Q313+S313+U313</f>
        <v/>
      </c>
    </row>
    <row r="314">
      <c r="A314" t="inlineStr">
        <is>
          <t>SCTTR</t>
        </is>
      </c>
      <c r="B314" t="inlineStr">
        <is>
          <t>Engineering Technician III</t>
        </is>
      </c>
      <c r="C314" t="inlineStr">
        <is>
          <t>SCA</t>
        </is>
      </c>
      <c r="D314" t="inlineStr">
        <is>
          <t>SCLS</t>
        </is>
      </c>
      <c r="E314" s="5" t="n">
        <v>21.02</v>
      </c>
      <c r="F314" s="4" t="n">
        <v>2103.2</v>
      </c>
      <c r="G314" s="5">
        <f>E314*F314</f>
        <v/>
      </c>
      <c r="H314" s="5">
        <f>G314*0.35</f>
        <v/>
      </c>
      <c r="I314" s="5">
        <f>(G314+H314)*0.05</f>
        <v/>
      </c>
      <c r="J314" s="5">
        <f>(G314+H314+I314)*0.03</f>
        <v/>
      </c>
      <c r="K314" s="5">
        <f>G314+H314+I314+J314</f>
        <v/>
      </c>
      <c r="L314" s="5">
        <f>K314*0.08</f>
        <v/>
      </c>
      <c r="M314" s="5">
        <f>K314+L314</f>
        <v/>
      </c>
      <c r="N314" s="4" t="n">
        <v>420.64</v>
      </c>
      <c r="O314" s="5">
        <f>(E314*N314)*1.35*1.05*1.03*1.08</f>
        <v/>
      </c>
      <c r="P314" s="4" t="n">
        <v>420.64</v>
      </c>
      <c r="Q314" s="5">
        <f>(E314*P314)*1.35*1.05*1.03*1.08</f>
        <v/>
      </c>
      <c r="R314" s="4" t="n">
        <v>420.64</v>
      </c>
      <c r="S314" s="5">
        <f>(E314*R314)*1.35*1.05*1.03*1.08</f>
        <v/>
      </c>
      <c r="T314" s="4" t="n">
        <v>420.64</v>
      </c>
      <c r="U314" s="5">
        <f>(E314*T314)*1.35*1.05*1.03*1.08</f>
        <v/>
      </c>
      <c r="V314" s="4">
        <f>F314+N314+P314+R314+T314</f>
        <v/>
      </c>
      <c r="W314" s="5">
        <f>M314+O314+Q314+S314+U314</f>
        <v/>
      </c>
    </row>
    <row r="315">
      <c r="A315" t="inlineStr">
        <is>
          <t>SCTTR</t>
        </is>
      </c>
      <c r="B315" t="inlineStr">
        <is>
          <t>Operations Analyst</t>
        </is>
      </c>
      <c r="C315" t="inlineStr">
        <is>
          <t>Non-SCA</t>
        </is>
      </c>
      <c r="D315" t="inlineStr">
        <is>
          <t>Exempt</t>
        </is>
      </c>
      <c r="E315" s="5" t="n">
        <v>80</v>
      </c>
      <c r="F315" s="4" t="n">
        <v>3632.8</v>
      </c>
      <c r="G315" s="5">
        <f>E315*F315</f>
        <v/>
      </c>
      <c r="H315" s="5">
        <f>G315*0.35</f>
        <v/>
      </c>
      <c r="I315" s="5">
        <f>(G315+H315)*0.05</f>
        <v/>
      </c>
      <c r="J315" s="5">
        <f>(G315+H315+I315)*0.03</f>
        <v/>
      </c>
      <c r="K315" s="5">
        <f>G315+H315+I315+J315</f>
        <v/>
      </c>
      <c r="L315" s="5">
        <f>K315*0.08</f>
        <v/>
      </c>
      <c r="M315" s="5">
        <f>K315+L315</f>
        <v/>
      </c>
      <c r="N315" s="4" t="n">
        <v>726.5600000000001</v>
      </c>
      <c r="O315" s="5">
        <f>(E315*N315)*1.35*1.05*1.03*1.08</f>
        <v/>
      </c>
      <c r="P315" s="4" t="n">
        <v>726.5600000000001</v>
      </c>
      <c r="Q315" s="5">
        <f>(E315*P315)*1.35*1.05*1.03*1.08</f>
        <v/>
      </c>
      <c r="R315" s="4" t="n">
        <v>726.5600000000001</v>
      </c>
      <c r="S315" s="5">
        <f>(E315*R315)*1.35*1.05*1.03*1.08</f>
        <v/>
      </c>
      <c r="T315" s="4" t="n">
        <v>726.5600000000001</v>
      </c>
      <c r="U315" s="5">
        <f>(E315*T315)*1.35*1.05*1.03*1.08</f>
        <v/>
      </c>
      <c r="V315" s="4">
        <f>F315+N315+P315+R315+T315</f>
        <v/>
      </c>
      <c r="W315" s="5">
        <f>M315+O315+Q315+S315+U315</f>
        <v/>
      </c>
    </row>
    <row r="316">
      <c r="A316" t="inlineStr">
        <is>
          <t>SCTTR</t>
        </is>
      </c>
      <c r="B316" t="inlineStr">
        <is>
          <t>Electronics Technician III</t>
        </is>
      </c>
      <c r="C316" t="inlineStr">
        <is>
          <t>SCA</t>
        </is>
      </c>
      <c r="D316" t="inlineStr">
        <is>
          <t>CBA</t>
        </is>
      </c>
      <c r="E316" s="5" t="n">
        <v>28.42</v>
      </c>
      <c r="F316" s="4" t="n">
        <v>4397.6</v>
      </c>
      <c r="G316" s="5">
        <f>E316*F316</f>
        <v/>
      </c>
      <c r="H316" s="5">
        <f>G316*0.35</f>
        <v/>
      </c>
      <c r="I316" s="5">
        <f>(G316+H316)*0.05</f>
        <v/>
      </c>
      <c r="J316" s="5">
        <f>(G316+H316+I316)*0.03</f>
        <v/>
      </c>
      <c r="K316" s="5">
        <f>G316+H316+I316+J316</f>
        <v/>
      </c>
      <c r="L316" s="5">
        <f>K316*0.08</f>
        <v/>
      </c>
      <c r="M316" s="5">
        <f>K316+L316</f>
        <v/>
      </c>
      <c r="N316" s="4" t="n">
        <v>879.52</v>
      </c>
      <c r="O316" s="5">
        <f>(E316*N316)*1.35*1.05*1.03*1.08</f>
        <v/>
      </c>
      <c r="P316" s="4" t="n">
        <v>879.52</v>
      </c>
      <c r="Q316" s="5">
        <f>(E316*P316)*1.35*1.05*1.03*1.08</f>
        <v/>
      </c>
      <c r="R316" s="4" t="n">
        <v>879.52</v>
      </c>
      <c r="S316" s="5">
        <f>(E316*R316)*1.35*1.05*1.03*1.08</f>
        <v/>
      </c>
      <c r="T316" s="4" t="n">
        <v>879.52</v>
      </c>
      <c r="U316" s="5">
        <f>(E316*T316)*1.35*1.05*1.03*1.08</f>
        <v/>
      </c>
      <c r="V316" s="4">
        <f>F316+N316+P316+R316+T316</f>
        <v/>
      </c>
      <c r="W316" s="5">
        <f>M316+O316+Q316+S316+U316</f>
        <v/>
      </c>
    </row>
    <row r="317">
      <c r="A317" t="inlineStr">
        <is>
          <t>SCTTR</t>
        </is>
      </c>
      <c r="B317" t="inlineStr">
        <is>
          <t>Engineering Technician V</t>
        </is>
      </c>
      <c r="C317" t="inlineStr">
        <is>
          <t>SCA</t>
        </is>
      </c>
      <c r="D317" t="inlineStr">
        <is>
          <t>CBA</t>
        </is>
      </c>
      <c r="E317" s="5" t="n">
        <v>31.86</v>
      </c>
      <c r="F317" s="4" t="n">
        <v>1338.4</v>
      </c>
      <c r="G317" s="5">
        <f>E317*F317</f>
        <v/>
      </c>
      <c r="H317" s="5">
        <f>G317*0.35</f>
        <v/>
      </c>
      <c r="I317" s="5">
        <f>(G317+H317)*0.05</f>
        <v/>
      </c>
      <c r="J317" s="5">
        <f>(G317+H317+I317)*0.03</f>
        <v/>
      </c>
      <c r="K317" s="5">
        <f>G317+H317+I317+J317</f>
        <v/>
      </c>
      <c r="L317" s="5">
        <f>K317*0.08</f>
        <v/>
      </c>
      <c r="M317" s="5">
        <f>K317+L317</f>
        <v/>
      </c>
      <c r="N317" s="4" t="n">
        <v>267.68</v>
      </c>
      <c r="O317" s="5">
        <f>(E317*N317)*1.35*1.05*1.03*1.08</f>
        <v/>
      </c>
      <c r="P317" s="4" t="n">
        <v>267.68</v>
      </c>
      <c r="Q317" s="5">
        <f>(E317*P317)*1.35*1.05*1.03*1.08</f>
        <v/>
      </c>
      <c r="R317" s="4" t="n">
        <v>267.68</v>
      </c>
      <c r="S317" s="5">
        <f>(E317*R317)*1.35*1.05*1.03*1.08</f>
        <v/>
      </c>
      <c r="T317" s="4" t="n">
        <v>267.68</v>
      </c>
      <c r="U317" s="5">
        <f>(E317*T317)*1.35*1.05*1.03*1.08</f>
        <v/>
      </c>
      <c r="V317" s="4">
        <f>F317+N317+P317+R317+T317</f>
        <v/>
      </c>
      <c r="W317" s="5">
        <f>M317+O317+Q317+S317+U317</f>
        <v/>
      </c>
    </row>
    <row r="318">
      <c r="A318" t="inlineStr">
        <is>
          <t>SCTTR</t>
        </is>
      </c>
      <c r="B318" t="inlineStr">
        <is>
          <t>Range Control Facilitator</t>
        </is>
      </c>
      <c r="C318" t="inlineStr">
        <is>
          <t>Non-SCA</t>
        </is>
      </c>
      <c r="D318" t="inlineStr">
        <is>
          <t>Exempt</t>
        </is>
      </c>
      <c r="E318" s="5" t="n">
        <v>80</v>
      </c>
      <c r="F318" s="4" t="n">
        <v>1912</v>
      </c>
      <c r="G318" s="5">
        <f>E318*F318</f>
        <v/>
      </c>
      <c r="H318" s="5">
        <f>G318*0.35</f>
        <v/>
      </c>
      <c r="I318" s="5">
        <f>(G318+H318)*0.05</f>
        <v/>
      </c>
      <c r="J318" s="5">
        <f>(G318+H318+I318)*0.03</f>
        <v/>
      </c>
      <c r="K318" s="5">
        <f>G318+H318+I318+J318</f>
        <v/>
      </c>
      <c r="L318" s="5">
        <f>K318*0.08</f>
        <v/>
      </c>
      <c r="M318" s="5">
        <f>K318+L318</f>
        <v/>
      </c>
      <c r="N318" s="4" t="n">
        <v>382.4</v>
      </c>
      <c r="O318" s="5">
        <f>(E318*N318)*1.35*1.05*1.03*1.08</f>
        <v/>
      </c>
      <c r="P318" s="4" t="n">
        <v>382.4</v>
      </c>
      <c r="Q318" s="5">
        <f>(E318*P318)*1.35*1.05*1.03*1.08</f>
        <v/>
      </c>
      <c r="R318" s="4" t="n">
        <v>382.4</v>
      </c>
      <c r="S318" s="5">
        <f>(E318*R318)*1.35*1.05*1.03*1.08</f>
        <v/>
      </c>
      <c r="T318" s="4" t="n">
        <v>382.4</v>
      </c>
      <c r="U318" s="5">
        <f>(E318*T318)*1.35*1.05*1.03*1.08</f>
        <v/>
      </c>
      <c r="V318" s="4">
        <f>F318+N318+P318+R318+T318</f>
        <v/>
      </c>
      <c r="W318" s="5">
        <f>M318+O318+Q318+S318+U318</f>
        <v/>
      </c>
    </row>
    <row r="319">
      <c r="A319" t="inlineStr">
        <is>
          <t>SCTTR</t>
        </is>
      </c>
      <c r="B319" t="inlineStr">
        <is>
          <t>Electronics Technician II</t>
        </is>
      </c>
      <c r="C319" t="inlineStr">
        <is>
          <t>SCA</t>
        </is>
      </c>
      <c r="D319" t="inlineStr">
        <is>
          <t>CBA</t>
        </is>
      </c>
      <c r="E319" s="5" t="n">
        <v>26.88</v>
      </c>
      <c r="F319" s="4" t="n">
        <v>4206.4</v>
      </c>
      <c r="G319" s="5">
        <f>E319*F319</f>
        <v/>
      </c>
      <c r="H319" s="5">
        <f>G319*0.35</f>
        <v/>
      </c>
      <c r="I319" s="5">
        <f>(G319+H319)*0.05</f>
        <v/>
      </c>
      <c r="J319" s="5">
        <f>(G319+H319+I319)*0.03</f>
        <v/>
      </c>
      <c r="K319" s="5">
        <f>G319+H319+I319+J319</f>
        <v/>
      </c>
      <c r="L319" s="5">
        <f>K319*0.08</f>
        <v/>
      </c>
      <c r="M319" s="5">
        <f>K319+L319</f>
        <v/>
      </c>
      <c r="N319" s="4" t="n">
        <v>841.3</v>
      </c>
      <c r="O319" s="5">
        <f>(E319*N319)*1.35*1.05*1.03*1.08</f>
        <v/>
      </c>
      <c r="P319" s="4" t="n">
        <v>841.3</v>
      </c>
      <c r="Q319" s="5">
        <f>(E319*P319)*1.35*1.05*1.03*1.08</f>
        <v/>
      </c>
      <c r="R319" s="4" t="n">
        <v>841.3</v>
      </c>
      <c r="S319" s="5">
        <f>(E319*R319)*1.35*1.05*1.03*1.08</f>
        <v/>
      </c>
      <c r="T319" s="4" t="n">
        <v>841.3</v>
      </c>
      <c r="U319" s="5">
        <f>(E319*T319)*1.35*1.05*1.03*1.08</f>
        <v/>
      </c>
      <c r="V319" s="4">
        <f>F319+N319+P319+R319+T319</f>
        <v/>
      </c>
      <c r="W319" s="5">
        <f>M319+O319+Q319+S319+U319</f>
        <v/>
      </c>
    </row>
    <row r="320">
      <c r="A320" t="inlineStr">
        <is>
          <t>SCTTR</t>
        </is>
      </c>
      <c r="B320" t="inlineStr">
        <is>
          <t>Electronics Technician I</t>
        </is>
      </c>
      <c r="C320" t="inlineStr">
        <is>
          <t>SCA</t>
        </is>
      </c>
      <c r="D320" t="inlineStr">
        <is>
          <t>SCLS</t>
        </is>
      </c>
      <c r="E320" s="5" t="n">
        <v>25.43</v>
      </c>
      <c r="F320" s="4" t="n">
        <v>764.8000000000001</v>
      </c>
      <c r="G320" s="5">
        <f>E320*F320</f>
        <v/>
      </c>
      <c r="H320" s="5">
        <f>G320*0.35</f>
        <v/>
      </c>
      <c r="I320" s="5">
        <f>(G320+H320)*0.05</f>
        <v/>
      </c>
      <c r="J320" s="5">
        <f>(G320+H320+I320)*0.03</f>
        <v/>
      </c>
      <c r="K320" s="5">
        <f>G320+H320+I320+J320</f>
        <v/>
      </c>
      <c r="L320" s="5">
        <f>K320*0.08</f>
        <v/>
      </c>
      <c r="M320" s="5">
        <f>K320+L320</f>
        <v/>
      </c>
      <c r="N320" s="4" t="n">
        <v>152.96</v>
      </c>
      <c r="O320" s="5">
        <f>(E320*N320)*1.35*1.05*1.03*1.08</f>
        <v/>
      </c>
      <c r="P320" s="4" t="n">
        <v>152.96</v>
      </c>
      <c r="Q320" s="5">
        <f>(E320*P320)*1.35*1.05*1.03*1.08</f>
        <v/>
      </c>
      <c r="R320" s="4" t="n">
        <v>152.96</v>
      </c>
      <c r="S320" s="5">
        <f>(E320*R320)*1.35*1.05*1.03*1.08</f>
        <v/>
      </c>
      <c r="T320" s="4" t="n">
        <v>152.96</v>
      </c>
      <c r="U320" s="5">
        <f>(E320*T320)*1.35*1.05*1.03*1.08</f>
        <v/>
      </c>
      <c r="V320" s="4">
        <f>F320+N320+P320+R320+T320</f>
        <v/>
      </c>
      <c r="W320" s="5">
        <f>M320+O320+Q320+S320+U320</f>
        <v/>
      </c>
    </row>
    <row r="321">
      <c r="A321" t="inlineStr">
        <is>
          <t>SCTTR</t>
        </is>
      </c>
      <c r="B321" t="inlineStr">
        <is>
          <t>UXO Technician III</t>
        </is>
      </c>
      <c r="C321" t="inlineStr">
        <is>
          <t>SCA</t>
        </is>
      </c>
      <c r="D321" t="inlineStr">
        <is>
          <t>SCLS</t>
        </is>
      </c>
      <c r="E321" s="5" t="n">
        <v>42.46</v>
      </c>
      <c r="F321" s="4" t="n">
        <v>1147.2</v>
      </c>
      <c r="G321" s="5">
        <f>E321*F321</f>
        <v/>
      </c>
      <c r="H321" s="5">
        <f>G321*0.35</f>
        <v/>
      </c>
      <c r="I321" s="5">
        <f>(G321+H321)*0.05</f>
        <v/>
      </c>
      <c r="J321" s="5">
        <f>(G321+H321+I321)*0.03</f>
        <v/>
      </c>
      <c r="K321" s="5">
        <f>G321+H321+I321+J321</f>
        <v/>
      </c>
      <c r="L321" s="5">
        <f>K321*0.08</f>
        <v/>
      </c>
      <c r="M321" s="5">
        <f>K321+L321</f>
        <v/>
      </c>
      <c r="N321" s="4" t="n">
        <v>229.44</v>
      </c>
      <c r="O321" s="5">
        <f>(E321*N321)*1.35*1.05*1.03*1.08</f>
        <v/>
      </c>
      <c r="P321" s="4" t="n">
        <v>229.44</v>
      </c>
      <c r="Q321" s="5">
        <f>(E321*P321)*1.35*1.05*1.03*1.08</f>
        <v/>
      </c>
      <c r="R321" s="4" t="n">
        <v>229.44</v>
      </c>
      <c r="S321" s="5">
        <f>(E321*R321)*1.35*1.05*1.03*1.08</f>
        <v/>
      </c>
      <c r="T321" s="4" t="n">
        <v>229.44</v>
      </c>
      <c r="U321" s="5">
        <f>(E321*T321)*1.35*1.05*1.03*1.08</f>
        <v/>
      </c>
      <c r="V321" s="4">
        <f>F321+N321+P321+R321+T321</f>
        <v/>
      </c>
      <c r="W321" s="5">
        <f>M321+O321+Q321+S321+U321</f>
        <v/>
      </c>
    </row>
    <row r="322">
      <c r="A322" t="inlineStr">
        <is>
          <t>SCTTR</t>
        </is>
      </c>
      <c r="B322" t="inlineStr">
        <is>
          <t>Logistician Analyst IV</t>
        </is>
      </c>
      <c r="C322" t="inlineStr">
        <is>
          <t>Non-SCA</t>
        </is>
      </c>
      <c r="D322" t="inlineStr">
        <is>
          <t>Exempt</t>
        </is>
      </c>
      <c r="E322" s="5" t="n">
        <v>75</v>
      </c>
      <c r="F322" s="4" t="n">
        <v>573.6</v>
      </c>
      <c r="G322" s="5">
        <f>E322*F322</f>
        <v/>
      </c>
      <c r="H322" s="5">
        <f>G322*0.35</f>
        <v/>
      </c>
      <c r="I322" s="5">
        <f>(G322+H322)*0.05</f>
        <v/>
      </c>
      <c r="J322" s="5">
        <f>(G322+H322+I322)*0.03</f>
        <v/>
      </c>
      <c r="K322" s="5">
        <f>G322+H322+I322+J322</f>
        <v/>
      </c>
      <c r="L322" s="5">
        <f>K322*0.08</f>
        <v/>
      </c>
      <c r="M322" s="5">
        <f>K322+L322</f>
        <v/>
      </c>
      <c r="N322" s="4" t="n">
        <v>114.72</v>
      </c>
      <c r="O322" s="5">
        <f>(E322*N322)*1.35*1.05*1.03*1.08</f>
        <v/>
      </c>
      <c r="P322" s="4" t="n">
        <v>114.72</v>
      </c>
      <c r="Q322" s="5">
        <f>(E322*P322)*1.35*1.05*1.03*1.08</f>
        <v/>
      </c>
      <c r="R322" s="4" t="n">
        <v>114.72</v>
      </c>
      <c r="S322" s="5">
        <f>(E322*R322)*1.35*1.05*1.03*1.08</f>
        <v/>
      </c>
      <c r="T322" s="4" t="n">
        <v>114.72</v>
      </c>
      <c r="U322" s="5">
        <f>(E322*T322)*1.35*1.05*1.03*1.08</f>
        <v/>
      </c>
      <c r="V322" s="4">
        <f>F322+N322+P322+R322+T322</f>
        <v/>
      </c>
      <c r="W322" s="5">
        <f>M322+O322+Q322+S322+U322</f>
        <v/>
      </c>
    </row>
    <row r="323">
      <c r="A323" t="inlineStr">
        <is>
          <t>SCTTR</t>
        </is>
      </c>
      <c r="B323" t="inlineStr">
        <is>
          <t>Supply Technician</t>
        </is>
      </c>
      <c r="C323" t="inlineStr">
        <is>
          <t>SCA</t>
        </is>
      </c>
      <c r="D323" t="inlineStr">
        <is>
          <t>SCLS</t>
        </is>
      </c>
      <c r="E323" s="5" t="n">
        <v>29.44</v>
      </c>
      <c r="F323" s="4" t="n">
        <v>382.4</v>
      </c>
      <c r="G323" s="5">
        <f>E323*F323</f>
        <v/>
      </c>
      <c r="H323" s="5">
        <f>G323*0.35</f>
        <v/>
      </c>
      <c r="I323" s="5">
        <f>(G323+H323)*0.05</f>
        <v/>
      </c>
      <c r="J323" s="5">
        <f>(G323+H323+I323)*0.03</f>
        <v/>
      </c>
      <c r="K323" s="5">
        <f>G323+H323+I323+J323</f>
        <v/>
      </c>
      <c r="L323" s="5">
        <f>K323*0.08</f>
        <v/>
      </c>
      <c r="M323" s="5">
        <f>K323+L323</f>
        <v/>
      </c>
      <c r="N323" s="4" t="n">
        <v>76.48</v>
      </c>
      <c r="O323" s="5">
        <f>(E323*N323)*1.35*1.05*1.03*1.08</f>
        <v/>
      </c>
      <c r="P323" s="4" t="n">
        <v>76.48</v>
      </c>
      <c r="Q323" s="5">
        <f>(E323*P323)*1.35*1.05*1.03*1.08</f>
        <v/>
      </c>
      <c r="R323" s="4" t="n">
        <v>76.48</v>
      </c>
      <c r="S323" s="5">
        <f>(E323*R323)*1.35*1.05*1.03*1.08</f>
        <v/>
      </c>
      <c r="T323" s="4" t="n">
        <v>76.48</v>
      </c>
      <c r="U323" s="5">
        <f>(E323*T323)*1.35*1.05*1.03*1.08</f>
        <v/>
      </c>
      <c r="V323" s="4">
        <f>F323+N323+P323+R323+T323</f>
        <v/>
      </c>
      <c r="W323" s="5">
        <f>M323+O323+Q323+S323+U323</f>
        <v/>
      </c>
    </row>
    <row r="324">
      <c r="A324" t="inlineStr">
        <is>
          <t>SCTTR</t>
        </is>
      </c>
      <c r="B324" t="inlineStr">
        <is>
          <t>Security Coordinator</t>
        </is>
      </c>
      <c r="C324" t="inlineStr">
        <is>
          <t>Non-SCA</t>
        </is>
      </c>
      <c r="D324" t="inlineStr">
        <is>
          <t>Exempt</t>
        </is>
      </c>
      <c r="E324" s="5" t="n">
        <v>70</v>
      </c>
      <c r="F324" s="4" t="n">
        <v>573.6</v>
      </c>
      <c r="G324" s="5">
        <f>E324*F324</f>
        <v/>
      </c>
      <c r="H324" s="5">
        <f>G324*0.35</f>
        <v/>
      </c>
      <c r="I324" s="5">
        <f>(G324+H324)*0.05</f>
        <v/>
      </c>
      <c r="J324" s="5">
        <f>(G324+H324+I324)*0.03</f>
        <v/>
      </c>
      <c r="K324" s="5">
        <f>G324+H324+I324+J324</f>
        <v/>
      </c>
      <c r="L324" s="5">
        <f>K324*0.08</f>
        <v/>
      </c>
      <c r="M324" s="5">
        <f>K324+L324</f>
        <v/>
      </c>
      <c r="N324" s="4" t="n">
        <v>114.72</v>
      </c>
      <c r="O324" s="5">
        <f>(E324*N324)*1.35*1.05*1.03*1.08</f>
        <v/>
      </c>
      <c r="P324" s="4" t="n">
        <v>114.72</v>
      </c>
      <c r="Q324" s="5">
        <f>(E324*P324)*1.35*1.05*1.03*1.08</f>
        <v/>
      </c>
      <c r="R324" s="4" t="n">
        <v>114.72</v>
      </c>
      <c r="S324" s="5">
        <f>(E324*R324)*1.35*1.05*1.03*1.08</f>
        <v/>
      </c>
      <c r="T324" s="4" t="n">
        <v>114.72</v>
      </c>
      <c r="U324" s="5">
        <f>(E324*T324)*1.35*1.05*1.03*1.08</f>
        <v/>
      </c>
      <c r="V324" s="4">
        <f>F324+N324+P324+R324+T324</f>
        <v/>
      </c>
      <c r="W324" s="5">
        <f>M324+O324+Q324+S324+U324</f>
        <v/>
      </c>
    </row>
    <row r="325">
      <c r="A325" t="inlineStr">
        <is>
          <t>SCTTR</t>
        </is>
      </c>
      <c r="B325" t="inlineStr">
        <is>
          <t>Quality Assurance/Safety Evaluator</t>
        </is>
      </c>
      <c r="C325" t="inlineStr">
        <is>
          <t>Non-SCA</t>
        </is>
      </c>
      <c r="D325" t="inlineStr">
        <is>
          <t>Exempt</t>
        </is>
      </c>
      <c r="E325" s="5" t="n">
        <v>75</v>
      </c>
      <c r="F325" s="4" t="n">
        <v>191.2</v>
      </c>
      <c r="G325" s="5">
        <f>E325*F325</f>
        <v/>
      </c>
      <c r="H325" s="5">
        <f>G325*0.35</f>
        <v/>
      </c>
      <c r="I325" s="5">
        <f>(G325+H325)*0.05</f>
        <v/>
      </c>
      <c r="J325" s="5">
        <f>(G325+H325+I325)*0.03</f>
        <v/>
      </c>
      <c r="K325" s="5">
        <f>G325+H325+I325+J325</f>
        <v/>
      </c>
      <c r="L325" s="5">
        <f>K325*0.08</f>
        <v/>
      </c>
      <c r="M325" s="5">
        <f>K325+L325</f>
        <v/>
      </c>
      <c r="N325" s="4" t="n">
        <v>38.24</v>
      </c>
      <c r="O325" s="5">
        <f>(E325*N325)*1.35*1.05*1.03*1.08</f>
        <v/>
      </c>
      <c r="P325" s="4" t="n">
        <v>38.24</v>
      </c>
      <c r="Q325" s="5">
        <f>(E325*P325)*1.35*1.05*1.03*1.08</f>
        <v/>
      </c>
      <c r="R325" s="4" t="n">
        <v>38.24</v>
      </c>
      <c r="S325" s="5">
        <f>(E325*R325)*1.35*1.05*1.03*1.08</f>
        <v/>
      </c>
      <c r="T325" s="4" t="n">
        <v>38.24</v>
      </c>
      <c r="U325" s="5">
        <f>(E325*T325)*1.35*1.05*1.03*1.08</f>
        <v/>
      </c>
      <c r="V325" s="4">
        <f>F325+N325+P325+R325+T325</f>
        <v/>
      </c>
      <c r="W325" s="5">
        <f>M325+O325+Q325+S325+U325</f>
        <v/>
      </c>
    </row>
    <row r="326">
      <c r="A326" t="inlineStr">
        <is>
          <t>Fallon</t>
        </is>
      </c>
      <c r="B326" t="inlineStr">
        <is>
          <t>Site Manager</t>
        </is>
      </c>
      <c r="C326" t="inlineStr">
        <is>
          <t>Non-SCA</t>
        </is>
      </c>
      <c r="D326" t="inlineStr">
        <is>
          <t>Exempt</t>
        </is>
      </c>
      <c r="E326" s="5" t="n">
        <v>95</v>
      </c>
      <c r="F326" s="4" t="n">
        <v>191.2</v>
      </c>
      <c r="G326" s="5">
        <f>E326*F326</f>
        <v/>
      </c>
      <c r="H326" s="5">
        <f>G326*0.35</f>
        <v/>
      </c>
      <c r="I326" s="5">
        <f>(G326+H326)*0.05</f>
        <v/>
      </c>
      <c r="J326" s="5">
        <f>(G326+H326+I326)*0.03</f>
        <v/>
      </c>
      <c r="K326" s="5">
        <f>G326+H326+I326+J326</f>
        <v/>
      </c>
      <c r="L326" s="5">
        <f>K326*0.08</f>
        <v/>
      </c>
      <c r="M326" s="5">
        <f>K326+L326</f>
        <v/>
      </c>
      <c r="N326" s="4" t="n">
        <v>38.24</v>
      </c>
      <c r="O326" s="5">
        <f>(E326*N326)*1.35*1.05*1.03*1.08</f>
        <v/>
      </c>
      <c r="P326" s="4" t="n">
        <v>38.24</v>
      </c>
      <c r="Q326" s="5">
        <f>(E326*P326)*1.35*1.05*1.03*1.08</f>
        <v/>
      </c>
      <c r="R326" s="4" t="n">
        <v>38.24</v>
      </c>
      <c r="S326" s="5">
        <f>(E326*R326)*1.35*1.05*1.03*1.08</f>
        <v/>
      </c>
      <c r="T326" s="4" t="n">
        <v>38.24</v>
      </c>
      <c r="U326" s="5">
        <f>(E326*T326)*1.35*1.05*1.03*1.08</f>
        <v/>
      </c>
      <c r="V326" s="4">
        <f>F326+N326+P326+R326+T326</f>
        <v/>
      </c>
      <c r="W326" s="5">
        <f>M326+O326+Q326+S326+U326</f>
        <v/>
      </c>
    </row>
    <row r="327">
      <c r="A327" t="inlineStr">
        <is>
          <t>Fallon</t>
        </is>
      </c>
      <c r="B327" t="inlineStr">
        <is>
          <t>Mission Coordinator</t>
        </is>
      </c>
      <c r="C327" t="inlineStr">
        <is>
          <t>Non-SCA</t>
        </is>
      </c>
      <c r="D327" t="inlineStr">
        <is>
          <t>CBA</t>
        </is>
      </c>
      <c r="E327" s="5" t="n">
        <v>85</v>
      </c>
      <c r="F327" s="4" t="n">
        <v>1338.4</v>
      </c>
      <c r="G327" s="5">
        <f>E327*F327</f>
        <v/>
      </c>
      <c r="H327" s="5">
        <f>G327*0.35</f>
        <v/>
      </c>
      <c r="I327" s="5">
        <f>(G327+H327)*0.05</f>
        <v/>
      </c>
      <c r="J327" s="5">
        <f>(G327+H327+I327)*0.03</f>
        <v/>
      </c>
      <c r="K327" s="5">
        <f>G327+H327+I327+J327</f>
        <v/>
      </c>
      <c r="L327" s="5">
        <f>K327*0.08</f>
        <v/>
      </c>
      <c r="M327" s="5">
        <f>K327+L327</f>
        <v/>
      </c>
      <c r="N327" s="4" t="n">
        <v>267.68</v>
      </c>
      <c r="O327" s="5">
        <f>(E327*N327)*1.35*1.05*1.03*1.08</f>
        <v/>
      </c>
      <c r="P327" s="4" t="n">
        <v>267.68</v>
      </c>
      <c r="Q327" s="5">
        <f>(E327*P327)*1.35*1.05*1.03*1.08</f>
        <v/>
      </c>
      <c r="R327" s="4" t="n">
        <v>267.68</v>
      </c>
      <c r="S327" s="5">
        <f>(E327*R327)*1.35*1.05*1.03*1.08</f>
        <v/>
      </c>
      <c r="T327" s="4" t="n">
        <v>267.68</v>
      </c>
      <c r="U327" s="5">
        <f>(E327*T327)*1.35*1.05*1.03*1.08</f>
        <v/>
      </c>
      <c r="V327" s="4">
        <f>F327+N327+P327+R327+T327</f>
        <v/>
      </c>
      <c r="W327" s="5">
        <f>M327+O327+Q327+S327+U327</f>
        <v/>
      </c>
    </row>
    <row r="328">
      <c r="A328" t="inlineStr">
        <is>
          <t>Fallon</t>
        </is>
      </c>
      <c r="B328" t="inlineStr">
        <is>
          <t>Mission Coordinator, Senior</t>
        </is>
      </c>
      <c r="C328" t="inlineStr">
        <is>
          <t>Non-SCA</t>
        </is>
      </c>
      <c r="D328" t="inlineStr">
        <is>
          <t>CBA</t>
        </is>
      </c>
      <c r="E328" s="5" t="n">
        <v>95</v>
      </c>
      <c r="F328" s="4" t="n">
        <v>191.2</v>
      </c>
      <c r="G328" s="5">
        <f>E328*F328</f>
        <v/>
      </c>
      <c r="H328" s="5">
        <f>G328*0.35</f>
        <v/>
      </c>
      <c r="I328" s="5">
        <f>(G328+H328)*0.05</f>
        <v/>
      </c>
      <c r="J328" s="5">
        <f>(G328+H328+I328)*0.03</f>
        <v/>
      </c>
      <c r="K328" s="5">
        <f>G328+H328+I328+J328</f>
        <v/>
      </c>
      <c r="L328" s="5">
        <f>K328*0.08</f>
        <v/>
      </c>
      <c r="M328" s="5">
        <f>K328+L328</f>
        <v/>
      </c>
      <c r="N328" s="4" t="n">
        <v>38.24</v>
      </c>
      <c r="O328" s="5">
        <f>(E328*N328)*1.35*1.05*1.03*1.08</f>
        <v/>
      </c>
      <c r="P328" s="4" t="n">
        <v>38.24</v>
      </c>
      <c r="Q328" s="5">
        <f>(E328*P328)*1.35*1.05*1.03*1.08</f>
        <v/>
      </c>
      <c r="R328" s="4" t="n">
        <v>38.24</v>
      </c>
      <c r="S328" s="5">
        <f>(E328*R328)*1.35*1.05*1.03*1.08</f>
        <v/>
      </c>
      <c r="T328" s="4" t="n">
        <v>38.24</v>
      </c>
      <c r="U328" s="5">
        <f>(E328*T328)*1.35*1.05*1.03*1.08</f>
        <v/>
      </c>
      <c r="V328" s="4">
        <f>F328+N328+P328+R328+T328</f>
        <v/>
      </c>
      <c r="W328" s="5">
        <f>M328+O328+Q328+S328+U328</f>
        <v/>
      </c>
    </row>
    <row r="329">
      <c r="A329" t="inlineStr">
        <is>
          <t>Fallon</t>
        </is>
      </c>
      <c r="B329" t="inlineStr">
        <is>
          <t>Computer Operator III</t>
        </is>
      </c>
      <c r="C329" t="inlineStr">
        <is>
          <t>SCA</t>
        </is>
      </c>
      <c r="D329" t="inlineStr">
        <is>
          <t>SCLS</t>
        </is>
      </c>
      <c r="E329" s="5" t="n">
        <v>25.78</v>
      </c>
      <c r="F329" s="4" t="n">
        <v>1147.2</v>
      </c>
      <c r="G329" s="5">
        <f>E329*F329</f>
        <v/>
      </c>
      <c r="H329" s="5">
        <f>G329*0.35</f>
        <v/>
      </c>
      <c r="I329" s="5">
        <f>(G329+H329)*0.05</f>
        <v/>
      </c>
      <c r="J329" s="5">
        <f>(G329+H329+I329)*0.03</f>
        <v/>
      </c>
      <c r="K329" s="5">
        <f>G329+H329+I329+J329</f>
        <v/>
      </c>
      <c r="L329" s="5">
        <f>K329*0.08</f>
        <v/>
      </c>
      <c r="M329" s="5">
        <f>K329+L329</f>
        <v/>
      </c>
      <c r="N329" s="4" t="n">
        <v>229.44</v>
      </c>
      <c r="O329" s="5">
        <f>(E329*N329)*1.35*1.05*1.03*1.08</f>
        <v/>
      </c>
      <c r="P329" s="4" t="n">
        <v>229.44</v>
      </c>
      <c r="Q329" s="5">
        <f>(E329*P329)*1.35*1.05*1.03*1.08</f>
        <v/>
      </c>
      <c r="R329" s="4" t="n">
        <v>229.44</v>
      </c>
      <c r="S329" s="5">
        <f>(E329*R329)*1.35*1.05*1.03*1.08</f>
        <v/>
      </c>
      <c r="T329" s="4" t="n">
        <v>229.44</v>
      </c>
      <c r="U329" s="5">
        <f>(E329*T329)*1.35*1.05*1.03*1.08</f>
        <v/>
      </c>
      <c r="V329" s="4">
        <f>F329+N329+P329+R329+T329</f>
        <v/>
      </c>
      <c r="W329" s="5">
        <f>M329+O329+Q329+S329+U329</f>
        <v/>
      </c>
    </row>
    <row r="330">
      <c r="A330" t="inlineStr">
        <is>
          <t>Fallon</t>
        </is>
      </c>
      <c r="B330" t="inlineStr">
        <is>
          <t>Computer Operator IV</t>
        </is>
      </c>
      <c r="C330" t="inlineStr">
        <is>
          <t>SCA</t>
        </is>
      </c>
      <c r="D330" t="inlineStr">
        <is>
          <t>SCLS</t>
        </is>
      </c>
      <c r="E330" s="5" t="n">
        <v>28.66</v>
      </c>
      <c r="F330" s="4" t="n">
        <v>191.2</v>
      </c>
      <c r="G330" s="5">
        <f>E330*F330</f>
        <v/>
      </c>
      <c r="H330" s="5">
        <f>G330*0.35</f>
        <v/>
      </c>
      <c r="I330" s="5">
        <f>(G330+H330)*0.05</f>
        <v/>
      </c>
      <c r="J330" s="5">
        <f>(G330+H330+I330)*0.03</f>
        <v/>
      </c>
      <c r="K330" s="5">
        <f>G330+H330+I330+J330</f>
        <v/>
      </c>
      <c r="L330" s="5">
        <f>K330*0.08</f>
        <v/>
      </c>
      <c r="M330" s="5">
        <f>K330+L330</f>
        <v/>
      </c>
      <c r="N330" s="4" t="n">
        <v>38.24</v>
      </c>
      <c r="O330" s="5">
        <f>(E330*N330)*1.35*1.05*1.03*1.08</f>
        <v/>
      </c>
      <c r="P330" s="4" t="n">
        <v>38.24</v>
      </c>
      <c r="Q330" s="5">
        <f>(E330*P330)*1.35*1.05*1.03*1.08</f>
        <v/>
      </c>
      <c r="R330" s="4" t="n">
        <v>38.24</v>
      </c>
      <c r="S330" s="5">
        <f>(E330*R330)*1.35*1.05*1.03*1.08</f>
        <v/>
      </c>
      <c r="T330" s="4" t="n">
        <v>38.24</v>
      </c>
      <c r="U330" s="5">
        <f>(E330*T330)*1.35*1.05*1.03*1.08</f>
        <v/>
      </c>
      <c r="V330" s="4">
        <f>F330+N330+P330+R330+T330</f>
        <v/>
      </c>
      <c r="W330" s="5">
        <f>M330+O330+Q330+S330+U330</f>
        <v/>
      </c>
    </row>
    <row r="331">
      <c r="A331" t="inlineStr">
        <is>
          <t>Fallon</t>
        </is>
      </c>
      <c r="B331" t="inlineStr">
        <is>
          <t>Tactical Data Link Analyst</t>
        </is>
      </c>
      <c r="C331" t="inlineStr">
        <is>
          <t>Non-SCA</t>
        </is>
      </c>
      <c r="D331" t="inlineStr">
        <is>
          <t>Exempt</t>
        </is>
      </c>
      <c r="E331" s="5" t="n">
        <v>75</v>
      </c>
      <c r="F331" s="4" t="n">
        <v>764.8000000000001</v>
      </c>
      <c r="G331" s="5">
        <f>E331*F331</f>
        <v/>
      </c>
      <c r="H331" s="5">
        <f>G331*0.35</f>
        <v/>
      </c>
      <c r="I331" s="5">
        <f>(G331+H331)*0.05</f>
        <v/>
      </c>
      <c r="J331" s="5">
        <f>(G331+H331+I331)*0.03</f>
        <v/>
      </c>
      <c r="K331" s="5">
        <f>G331+H331+I331+J331</f>
        <v/>
      </c>
      <c r="L331" s="5">
        <f>K331*0.08</f>
        <v/>
      </c>
      <c r="M331" s="5">
        <f>K331+L331</f>
        <v/>
      </c>
      <c r="N331" s="4" t="n">
        <v>152.96</v>
      </c>
      <c r="O331" s="5">
        <f>(E331*N331)*1.35*1.05*1.03*1.08</f>
        <v/>
      </c>
      <c r="P331" s="4" t="n">
        <v>152.96</v>
      </c>
      <c r="Q331" s="5">
        <f>(E331*P331)*1.35*1.05*1.03*1.08</f>
        <v/>
      </c>
      <c r="R331" s="4" t="n">
        <v>152.96</v>
      </c>
      <c r="S331" s="5">
        <f>(E331*R331)*1.35*1.05*1.03*1.08</f>
        <v/>
      </c>
      <c r="T331" s="4" t="n">
        <v>152.96</v>
      </c>
      <c r="U331" s="5">
        <f>(E331*T331)*1.35*1.05*1.03*1.08</f>
        <v/>
      </c>
      <c r="V331" s="4">
        <f>F331+N331+P331+R331+T331</f>
        <v/>
      </c>
      <c r="W331" s="5">
        <f>M331+O331+Q331+S331+U331</f>
        <v/>
      </c>
    </row>
    <row r="332">
      <c r="A332" t="inlineStr">
        <is>
          <t>Fallon</t>
        </is>
      </c>
      <c r="B332" t="inlineStr">
        <is>
          <t>Range Control Officer</t>
        </is>
      </c>
      <c r="C332" t="inlineStr">
        <is>
          <t>Non-SCA</t>
        </is>
      </c>
      <c r="D332" t="inlineStr">
        <is>
          <t>CBA</t>
        </is>
      </c>
      <c r="E332" s="5" t="n">
        <v>80</v>
      </c>
      <c r="F332" s="4" t="n">
        <v>956</v>
      </c>
      <c r="G332" s="5">
        <f>E332*F332</f>
        <v/>
      </c>
      <c r="H332" s="5">
        <f>G332*0.35</f>
        <v/>
      </c>
      <c r="I332" s="5">
        <f>(G332+H332)*0.05</f>
        <v/>
      </c>
      <c r="J332" s="5">
        <f>(G332+H332+I332)*0.03</f>
        <v/>
      </c>
      <c r="K332" s="5">
        <f>G332+H332+I332+J332</f>
        <v/>
      </c>
      <c r="L332" s="5">
        <f>K332*0.08</f>
        <v/>
      </c>
      <c r="M332" s="5">
        <f>K332+L332</f>
        <v/>
      </c>
      <c r="N332" s="4" t="n">
        <v>191.2</v>
      </c>
      <c r="O332" s="5">
        <f>(E332*N332)*1.35*1.05*1.03*1.08</f>
        <v/>
      </c>
      <c r="P332" s="4" t="n">
        <v>191.2</v>
      </c>
      <c r="Q332" s="5">
        <f>(E332*P332)*1.35*1.05*1.03*1.08</f>
        <v/>
      </c>
      <c r="R332" s="4" t="n">
        <v>191.2</v>
      </c>
      <c r="S332" s="5">
        <f>(E332*R332)*1.35*1.05*1.03*1.08</f>
        <v/>
      </c>
      <c r="T332" s="4" t="n">
        <v>191.2</v>
      </c>
      <c r="U332" s="5">
        <f>(E332*T332)*1.35*1.05*1.03*1.08</f>
        <v/>
      </c>
      <c r="V332" s="4">
        <f>F332+N332+P332+R332+T332</f>
        <v/>
      </c>
      <c r="W332" s="5">
        <f>M332+O332+Q332+S332+U332</f>
        <v/>
      </c>
    </row>
    <row r="333">
      <c r="A333" t="inlineStr">
        <is>
          <t>Fallon</t>
        </is>
      </c>
      <c r="B333" t="inlineStr">
        <is>
          <t>Range Control Officer, Senior</t>
        </is>
      </c>
      <c r="C333" t="inlineStr">
        <is>
          <t>Non-SCA</t>
        </is>
      </c>
      <c r="D333" t="inlineStr">
        <is>
          <t>CBA</t>
        </is>
      </c>
      <c r="E333" s="5" t="n">
        <v>90</v>
      </c>
      <c r="F333" s="4" t="n">
        <v>191.2</v>
      </c>
      <c r="G333" s="5">
        <f>E333*F333</f>
        <v/>
      </c>
      <c r="H333" s="5">
        <f>G333*0.35</f>
        <v/>
      </c>
      <c r="I333" s="5">
        <f>(G333+H333)*0.05</f>
        <v/>
      </c>
      <c r="J333" s="5">
        <f>(G333+H333+I333)*0.03</f>
        <v/>
      </c>
      <c r="K333" s="5">
        <f>G333+H333+I333+J333</f>
        <v/>
      </c>
      <c r="L333" s="5">
        <f>K333*0.08</f>
        <v/>
      </c>
      <c r="M333" s="5">
        <f>K333+L333</f>
        <v/>
      </c>
      <c r="N333" s="4" t="n">
        <v>38.24</v>
      </c>
      <c r="O333" s="5">
        <f>(E333*N333)*1.35*1.05*1.03*1.08</f>
        <v/>
      </c>
      <c r="P333" s="4" t="n">
        <v>38.24</v>
      </c>
      <c r="Q333" s="5">
        <f>(E333*P333)*1.35*1.05*1.03*1.08</f>
        <v/>
      </c>
      <c r="R333" s="4" t="n">
        <v>38.24</v>
      </c>
      <c r="S333" s="5">
        <f>(E333*R333)*1.35*1.05*1.03*1.08</f>
        <v/>
      </c>
      <c r="T333" s="4" t="n">
        <v>38.24</v>
      </c>
      <c r="U333" s="5">
        <f>(E333*T333)*1.35*1.05*1.03*1.08</f>
        <v/>
      </c>
      <c r="V333" s="4">
        <f>F333+N333+P333+R333+T333</f>
        <v/>
      </c>
      <c r="W333" s="5">
        <f>M333+O333+Q333+S333+U333</f>
        <v/>
      </c>
    </row>
    <row r="334">
      <c r="A334" t="inlineStr">
        <is>
          <t>Fallon</t>
        </is>
      </c>
      <c r="B334" t="inlineStr">
        <is>
          <t>Electronics Technician II</t>
        </is>
      </c>
      <c r="C334" t="inlineStr">
        <is>
          <t>SCA</t>
        </is>
      </c>
      <c r="D334" t="inlineStr">
        <is>
          <t>SCLS</t>
        </is>
      </c>
      <c r="E334" s="5" t="n">
        <v>37.93</v>
      </c>
      <c r="F334" s="4" t="n">
        <v>9560.000000000002</v>
      </c>
      <c r="G334" s="5">
        <f>E334*F334</f>
        <v/>
      </c>
      <c r="H334" s="5">
        <f>G334*0.35</f>
        <v/>
      </c>
      <c r="I334" s="5">
        <f>(G334+H334)*0.05</f>
        <v/>
      </c>
      <c r="J334" s="5">
        <f>(G334+H334+I334)*0.03</f>
        <v/>
      </c>
      <c r="K334" s="5">
        <f>G334+H334+I334+J334</f>
        <v/>
      </c>
      <c r="L334" s="5">
        <f>K334*0.08</f>
        <v/>
      </c>
      <c r="M334" s="5">
        <f>K334+L334</f>
        <v/>
      </c>
      <c r="N334" s="4" t="n">
        <v>1912</v>
      </c>
      <c r="O334" s="5">
        <f>(E334*N334)*1.35*1.05*1.03*1.08</f>
        <v/>
      </c>
      <c r="P334" s="4" t="n">
        <v>1912</v>
      </c>
      <c r="Q334" s="5">
        <f>(E334*P334)*1.35*1.05*1.03*1.08</f>
        <v/>
      </c>
      <c r="R334" s="4" t="n">
        <v>1912</v>
      </c>
      <c r="S334" s="5">
        <f>(E334*R334)*1.35*1.05*1.03*1.08</f>
        <v/>
      </c>
      <c r="T334" s="4" t="n">
        <v>1912</v>
      </c>
      <c r="U334" s="5">
        <f>(E334*T334)*1.35*1.05*1.03*1.08</f>
        <v/>
      </c>
      <c r="V334" s="4">
        <f>F334+N334+P334+R334+T334</f>
        <v/>
      </c>
      <c r="W334" s="5">
        <f>M334+O334+Q334+S334+U334</f>
        <v/>
      </c>
    </row>
    <row r="335">
      <c r="A335" t="inlineStr">
        <is>
          <t>Fallon</t>
        </is>
      </c>
      <c r="B335" t="inlineStr">
        <is>
          <t>Electronics Technician III</t>
        </is>
      </c>
      <c r="C335" t="inlineStr">
        <is>
          <t>SCA</t>
        </is>
      </c>
      <c r="D335" t="inlineStr">
        <is>
          <t>SCLS</t>
        </is>
      </c>
      <c r="E335" s="5" t="n">
        <v>39.89</v>
      </c>
      <c r="F335" s="4" t="n">
        <v>6118.4</v>
      </c>
      <c r="G335" s="5">
        <f>E335*F335</f>
        <v/>
      </c>
      <c r="H335" s="5">
        <f>G335*0.35</f>
        <v/>
      </c>
      <c r="I335" s="5">
        <f>(G335+H335)*0.05</f>
        <v/>
      </c>
      <c r="J335" s="5">
        <f>(G335+H335+I335)*0.03</f>
        <v/>
      </c>
      <c r="K335" s="5">
        <f>G335+H335+I335+J335</f>
        <v/>
      </c>
      <c r="L335" s="5">
        <f>K335*0.08</f>
        <v/>
      </c>
      <c r="M335" s="5">
        <f>K335+L335</f>
        <v/>
      </c>
      <c r="N335" s="4" t="n">
        <v>1223.68</v>
      </c>
      <c r="O335" s="5">
        <f>(E335*N335)*1.35*1.05*1.03*1.08</f>
        <v/>
      </c>
      <c r="P335" s="4" t="n">
        <v>1223.68</v>
      </c>
      <c r="Q335" s="5">
        <f>(E335*P335)*1.35*1.05*1.03*1.08</f>
        <v/>
      </c>
      <c r="R335" s="4" t="n">
        <v>1223.68</v>
      </c>
      <c r="S335" s="5">
        <f>(E335*R335)*1.35*1.05*1.03*1.08</f>
        <v/>
      </c>
      <c r="T335" s="4" t="n">
        <v>1223.68</v>
      </c>
      <c r="U335" s="5">
        <f>(E335*T335)*1.35*1.05*1.03*1.08</f>
        <v/>
      </c>
      <c r="V335" s="4">
        <f>F335+N335+P335+R335+T335</f>
        <v/>
      </c>
      <c r="W335" s="5">
        <f>M335+O335+Q335+S335+U335</f>
        <v/>
      </c>
    </row>
    <row r="336">
      <c r="A336" t="inlineStr">
        <is>
          <t>Fallon</t>
        </is>
      </c>
      <c r="B336" t="inlineStr">
        <is>
          <t>Engineering Technician V</t>
        </is>
      </c>
      <c r="C336" t="inlineStr">
        <is>
          <t>SCA</t>
        </is>
      </c>
      <c r="D336" t="inlineStr">
        <is>
          <t>SCLS</t>
        </is>
      </c>
      <c r="E336" s="5" t="n">
        <v>33.91</v>
      </c>
      <c r="F336" s="4" t="n">
        <v>1720.8</v>
      </c>
      <c r="G336" s="5">
        <f>E336*F336</f>
        <v/>
      </c>
      <c r="H336" s="5">
        <f>G336*0.35</f>
        <v/>
      </c>
      <c r="I336" s="5">
        <f>(G336+H336)*0.05</f>
        <v/>
      </c>
      <c r="J336" s="5">
        <f>(G336+H336+I336)*0.03</f>
        <v/>
      </c>
      <c r="K336" s="5">
        <f>G336+H336+I336+J336</f>
        <v/>
      </c>
      <c r="L336" s="5">
        <f>K336*0.08</f>
        <v/>
      </c>
      <c r="M336" s="5">
        <f>K336+L336</f>
        <v/>
      </c>
      <c r="N336" s="4" t="n">
        <v>344.16</v>
      </c>
      <c r="O336" s="5">
        <f>(E336*N336)*1.35*1.05*1.03*1.08</f>
        <v/>
      </c>
      <c r="P336" s="4" t="n">
        <v>344.16</v>
      </c>
      <c r="Q336" s="5">
        <f>(E336*P336)*1.35*1.05*1.03*1.08</f>
        <v/>
      </c>
      <c r="R336" s="4" t="n">
        <v>344.16</v>
      </c>
      <c r="S336" s="5">
        <f>(E336*R336)*1.35*1.05*1.03*1.08</f>
        <v/>
      </c>
      <c r="T336" s="4" t="n">
        <v>344.16</v>
      </c>
      <c r="U336" s="5">
        <f>(E336*T336)*1.35*1.05*1.03*1.08</f>
        <v/>
      </c>
      <c r="V336" s="4">
        <f>F336+N336+P336+R336+T336</f>
        <v/>
      </c>
      <c r="W336" s="5">
        <f>M336+O336+Q336+S336+U336</f>
        <v/>
      </c>
    </row>
    <row r="337">
      <c r="A337" t="inlineStr">
        <is>
          <t>Fallon</t>
        </is>
      </c>
      <c r="B337" t="inlineStr">
        <is>
          <t>Engineering Technician VI</t>
        </is>
      </c>
      <c r="C337" t="inlineStr">
        <is>
          <t>SCA</t>
        </is>
      </c>
      <c r="D337" t="inlineStr">
        <is>
          <t>SCLS</t>
        </is>
      </c>
      <c r="E337" s="5" t="n">
        <v>41.03</v>
      </c>
      <c r="F337" s="4" t="n">
        <v>764.8000000000001</v>
      </c>
      <c r="G337" s="5">
        <f>E337*F337</f>
        <v/>
      </c>
      <c r="H337" s="5">
        <f>G337*0.35</f>
        <v/>
      </c>
      <c r="I337" s="5">
        <f>(G337+H337)*0.05</f>
        <v/>
      </c>
      <c r="J337" s="5">
        <f>(G337+H337+I337)*0.03</f>
        <v/>
      </c>
      <c r="K337" s="5">
        <f>G337+H337+I337+J337</f>
        <v/>
      </c>
      <c r="L337" s="5">
        <f>K337*0.08</f>
        <v/>
      </c>
      <c r="M337" s="5">
        <f>K337+L337</f>
        <v/>
      </c>
      <c r="N337" s="4" t="n">
        <v>152.96</v>
      </c>
      <c r="O337" s="5">
        <f>(E337*N337)*1.35*1.05*1.03*1.08</f>
        <v/>
      </c>
      <c r="P337" s="4" t="n">
        <v>152.96</v>
      </c>
      <c r="Q337" s="5">
        <f>(E337*P337)*1.35*1.05*1.03*1.08</f>
        <v/>
      </c>
      <c r="R337" s="4" t="n">
        <v>152.96</v>
      </c>
      <c r="S337" s="5">
        <f>(E337*R337)*1.35*1.05*1.03*1.08</f>
        <v/>
      </c>
      <c r="T337" s="4" t="n">
        <v>152.96</v>
      </c>
      <c r="U337" s="5">
        <f>(E337*T337)*1.35*1.05*1.03*1.08</f>
        <v/>
      </c>
      <c r="V337" s="4">
        <f>F337+N337+P337+R337+T337</f>
        <v/>
      </c>
      <c r="W337" s="5">
        <f>M337+O337+Q337+S337+U337</f>
        <v/>
      </c>
    </row>
    <row r="338">
      <c r="A338" t="inlineStr">
        <is>
          <t>Fallon</t>
        </is>
      </c>
      <c r="B338" t="inlineStr">
        <is>
          <t>UXO Technician II</t>
        </is>
      </c>
      <c r="C338" t="inlineStr">
        <is>
          <t>SCA</t>
        </is>
      </c>
      <c r="D338" t="inlineStr">
        <is>
          <t>CBA</t>
        </is>
      </c>
      <c r="E338" s="5" t="n">
        <v>36.19</v>
      </c>
      <c r="F338" s="4" t="n">
        <v>1720.8</v>
      </c>
      <c r="G338" s="5">
        <f>E338*F338</f>
        <v/>
      </c>
      <c r="H338" s="5">
        <f>G338*0.35</f>
        <v/>
      </c>
      <c r="I338" s="5">
        <f>(G338+H338)*0.05</f>
        <v/>
      </c>
      <c r="J338" s="5">
        <f>(G338+H338+I338)*0.03</f>
        <v/>
      </c>
      <c r="K338" s="5">
        <f>G338+H338+I338+J338</f>
        <v/>
      </c>
      <c r="L338" s="5">
        <f>K338*0.08</f>
        <v/>
      </c>
      <c r="M338" s="5">
        <f>K338+L338</f>
        <v/>
      </c>
      <c r="N338" s="4" t="n">
        <v>344.16</v>
      </c>
      <c r="O338" s="5">
        <f>(E338*N338)*1.35*1.05*1.03*1.08</f>
        <v/>
      </c>
      <c r="P338" s="4" t="n">
        <v>344.16</v>
      </c>
      <c r="Q338" s="5">
        <f>(E338*P338)*1.35*1.05*1.03*1.08</f>
        <v/>
      </c>
      <c r="R338" s="4" t="n">
        <v>344.16</v>
      </c>
      <c r="S338" s="5">
        <f>(E338*R338)*1.35*1.05*1.03*1.08</f>
        <v/>
      </c>
      <c r="T338" s="4" t="n">
        <v>344.16</v>
      </c>
      <c r="U338" s="5">
        <f>(E338*T338)*1.35*1.05*1.03*1.08</f>
        <v/>
      </c>
      <c r="V338" s="4">
        <f>F338+N338+P338+R338+T338</f>
        <v/>
      </c>
      <c r="W338" s="5">
        <f>M338+O338+Q338+S338+U338</f>
        <v/>
      </c>
    </row>
    <row r="339">
      <c r="A339" t="inlineStr">
        <is>
          <t>Fallon</t>
        </is>
      </c>
      <c r="B339" t="inlineStr">
        <is>
          <t>UXO Technician III</t>
        </is>
      </c>
      <c r="C339" t="inlineStr">
        <is>
          <t>SCA</t>
        </is>
      </c>
      <c r="D339" t="inlineStr">
        <is>
          <t>CBA</t>
        </is>
      </c>
      <c r="E339" s="5" t="n">
        <v>43.37</v>
      </c>
      <c r="F339" s="4" t="n">
        <v>1147.2</v>
      </c>
      <c r="G339" s="5">
        <f>E339*F339</f>
        <v/>
      </c>
      <c r="H339" s="5">
        <f>G339*0.35</f>
        <v/>
      </c>
      <c r="I339" s="5">
        <f>(G339+H339)*0.05</f>
        <v/>
      </c>
      <c r="J339" s="5">
        <f>(G339+H339+I339)*0.03</f>
        <v/>
      </c>
      <c r="K339" s="5">
        <f>G339+H339+I339+J339</f>
        <v/>
      </c>
      <c r="L339" s="5">
        <f>K339*0.08</f>
        <v/>
      </c>
      <c r="M339" s="5">
        <f>K339+L339</f>
        <v/>
      </c>
      <c r="N339" s="4" t="n">
        <v>229.44</v>
      </c>
      <c r="O339" s="5">
        <f>(E339*N339)*1.35*1.05*1.03*1.08</f>
        <v/>
      </c>
      <c r="P339" s="4" t="n">
        <v>229.44</v>
      </c>
      <c r="Q339" s="5">
        <f>(E339*P339)*1.35*1.05*1.03*1.08</f>
        <v/>
      </c>
      <c r="R339" s="4" t="n">
        <v>229.44</v>
      </c>
      <c r="S339" s="5">
        <f>(E339*R339)*1.35*1.05*1.03*1.08</f>
        <v/>
      </c>
      <c r="T339" s="4" t="n">
        <v>229.44</v>
      </c>
      <c r="U339" s="5">
        <f>(E339*T339)*1.35*1.05*1.03*1.08</f>
        <v/>
      </c>
      <c r="V339" s="4">
        <f>F339+N339+P339+R339+T339</f>
        <v/>
      </c>
      <c r="W339" s="5">
        <f>M339+O339+Q339+S339+U339</f>
        <v/>
      </c>
    </row>
    <row r="340">
      <c r="A340" t="inlineStr">
        <is>
          <t>Fallon</t>
        </is>
      </c>
      <c r="B340" t="inlineStr">
        <is>
          <t>Electrician</t>
        </is>
      </c>
      <c r="C340" t="inlineStr">
        <is>
          <t>Non-SCA</t>
        </is>
      </c>
      <c r="D340" t="inlineStr">
        <is>
          <t>Exempt</t>
        </is>
      </c>
      <c r="E340" s="5" t="n">
        <v>65</v>
      </c>
      <c r="F340" s="4" t="n">
        <v>191.2</v>
      </c>
      <c r="G340" s="5">
        <f>E340*F340</f>
        <v/>
      </c>
      <c r="H340" s="5">
        <f>G340*0.35</f>
        <v/>
      </c>
      <c r="I340" s="5">
        <f>(G340+H340)*0.05</f>
        <v/>
      </c>
      <c r="J340" s="5">
        <f>(G340+H340+I340)*0.03</f>
        <v/>
      </c>
      <c r="K340" s="5">
        <f>G340+H340+I340+J340</f>
        <v/>
      </c>
      <c r="L340" s="5">
        <f>K340*0.08</f>
        <v/>
      </c>
      <c r="M340" s="5">
        <f>K340+L340</f>
        <v/>
      </c>
      <c r="N340" s="4" t="n">
        <v>38.24</v>
      </c>
      <c r="O340" s="5">
        <f>(E340*N340)*1.35*1.05*1.03*1.08</f>
        <v/>
      </c>
      <c r="P340" s="4" t="n">
        <v>38.24</v>
      </c>
      <c r="Q340" s="5">
        <f>(E340*P340)*1.35*1.05*1.03*1.08</f>
        <v/>
      </c>
      <c r="R340" s="4" t="n">
        <v>38.24</v>
      </c>
      <c r="S340" s="5">
        <f>(E340*R340)*1.35*1.05*1.03*1.08</f>
        <v/>
      </c>
      <c r="T340" s="4" t="n">
        <v>38.24</v>
      </c>
      <c r="U340" s="5">
        <f>(E340*T340)*1.35*1.05*1.03*1.08</f>
        <v/>
      </c>
      <c r="V340" s="4">
        <f>F340+N340+P340+R340+T340</f>
        <v/>
      </c>
      <c r="W340" s="5">
        <f>M340+O340+Q340+S340+U340</f>
        <v/>
      </c>
    </row>
    <row r="341">
      <c r="A341" t="inlineStr">
        <is>
          <t>Fallon</t>
        </is>
      </c>
      <c r="B341" t="inlineStr">
        <is>
          <t>General Maintenance Worker</t>
        </is>
      </c>
      <c r="C341" t="inlineStr">
        <is>
          <t>SCA</t>
        </is>
      </c>
      <c r="D341" t="inlineStr">
        <is>
          <t>CBA</t>
        </is>
      </c>
      <c r="E341" s="5" t="n">
        <v>24.08</v>
      </c>
      <c r="F341" s="4" t="n">
        <v>573.6</v>
      </c>
      <c r="G341" s="5">
        <f>E341*F341</f>
        <v/>
      </c>
      <c r="H341" s="5">
        <f>G341*0.35</f>
        <v/>
      </c>
      <c r="I341" s="5">
        <f>(G341+H341)*0.05</f>
        <v/>
      </c>
      <c r="J341" s="5">
        <f>(G341+H341+I341)*0.03</f>
        <v/>
      </c>
      <c r="K341" s="5">
        <f>G341+H341+I341+J341</f>
        <v/>
      </c>
      <c r="L341" s="5">
        <f>K341*0.08</f>
        <v/>
      </c>
      <c r="M341" s="5">
        <f>K341+L341</f>
        <v/>
      </c>
      <c r="N341" s="4" t="n">
        <v>114.72</v>
      </c>
      <c r="O341" s="5">
        <f>(E341*N341)*1.35*1.05*1.03*1.08</f>
        <v/>
      </c>
      <c r="P341" s="4" t="n">
        <v>114.72</v>
      </c>
      <c r="Q341" s="5">
        <f>(E341*P341)*1.35*1.05*1.03*1.08</f>
        <v/>
      </c>
      <c r="R341" s="4" t="n">
        <v>114.72</v>
      </c>
      <c r="S341" s="5">
        <f>(E341*R341)*1.35*1.05*1.03*1.08</f>
        <v/>
      </c>
      <c r="T341" s="4" t="n">
        <v>114.72</v>
      </c>
      <c r="U341" s="5">
        <f>(E341*T341)*1.35*1.05*1.03*1.08</f>
        <v/>
      </c>
      <c r="V341" s="4">
        <f>F341+N341+P341+R341+T341</f>
        <v/>
      </c>
      <c r="W341" s="5">
        <f>M341+O341+Q341+S341+U341</f>
        <v/>
      </c>
    </row>
    <row r="342">
      <c r="A342" t="inlineStr">
        <is>
          <t>Fallon</t>
        </is>
      </c>
      <c r="B342" t="inlineStr">
        <is>
          <t>Generator Technician II</t>
        </is>
      </c>
      <c r="C342" t="inlineStr">
        <is>
          <t>Non-SCA</t>
        </is>
      </c>
      <c r="D342" t="inlineStr">
        <is>
          <t>Exempt</t>
        </is>
      </c>
      <c r="E342" s="5" t="n">
        <v>55</v>
      </c>
      <c r="F342" s="4" t="n">
        <v>382.4</v>
      </c>
      <c r="G342" s="5">
        <f>E342*F342</f>
        <v/>
      </c>
      <c r="H342" s="5">
        <f>G342*0.35</f>
        <v/>
      </c>
      <c r="I342" s="5">
        <f>(G342+H342)*0.05</f>
        <v/>
      </c>
      <c r="J342" s="5">
        <f>(G342+H342+I342)*0.03</f>
        <v/>
      </c>
      <c r="K342" s="5">
        <f>G342+H342+I342+J342</f>
        <v/>
      </c>
      <c r="L342" s="5">
        <f>K342*0.08</f>
        <v/>
      </c>
      <c r="M342" s="5">
        <f>K342+L342</f>
        <v/>
      </c>
      <c r="N342" s="4" t="n">
        <v>76.48</v>
      </c>
      <c r="O342" s="5">
        <f>(E342*N342)*1.35*1.05*1.03*1.08</f>
        <v/>
      </c>
      <c r="P342" s="4" t="n">
        <v>76.48</v>
      </c>
      <c r="Q342" s="5">
        <f>(E342*P342)*1.35*1.05*1.03*1.08</f>
        <v/>
      </c>
      <c r="R342" s="4" t="n">
        <v>76.48</v>
      </c>
      <c r="S342" s="5">
        <f>(E342*R342)*1.35*1.05*1.03*1.08</f>
        <v/>
      </c>
      <c r="T342" s="4" t="n">
        <v>76.48</v>
      </c>
      <c r="U342" s="5">
        <f>(E342*T342)*1.35*1.05*1.03*1.08</f>
        <v/>
      </c>
      <c r="V342" s="4">
        <f>F342+N342+P342+R342+T342</f>
        <v/>
      </c>
      <c r="W342" s="5">
        <f>M342+O342+Q342+S342+U342</f>
        <v/>
      </c>
    </row>
    <row r="343">
      <c r="A343" t="inlineStr">
        <is>
          <t>Fallon</t>
        </is>
      </c>
      <c r="B343" t="inlineStr">
        <is>
          <t>Generator Technician III</t>
        </is>
      </c>
      <c r="C343" t="inlineStr">
        <is>
          <t>Non-SCA</t>
        </is>
      </c>
      <c r="D343" t="inlineStr">
        <is>
          <t>Exempt</t>
        </is>
      </c>
      <c r="E343" s="5" t="n">
        <v>65</v>
      </c>
      <c r="F343" s="4" t="n">
        <v>764.8000000000001</v>
      </c>
      <c r="G343" s="5">
        <f>E343*F343</f>
        <v/>
      </c>
      <c r="H343" s="5">
        <f>G343*0.35</f>
        <v/>
      </c>
      <c r="I343" s="5">
        <f>(G343+H343)*0.05</f>
        <v/>
      </c>
      <c r="J343" s="5">
        <f>(G343+H343+I343)*0.03</f>
        <v/>
      </c>
      <c r="K343" s="5">
        <f>G343+H343+I343+J343</f>
        <v/>
      </c>
      <c r="L343" s="5">
        <f>K343*0.08</f>
        <v/>
      </c>
      <c r="M343" s="5">
        <f>K343+L343</f>
        <v/>
      </c>
      <c r="N343" s="4" t="n">
        <v>152.96</v>
      </c>
      <c r="O343" s="5">
        <f>(E343*N343)*1.35*1.05*1.03*1.08</f>
        <v/>
      </c>
      <c r="P343" s="4" t="n">
        <v>152.96</v>
      </c>
      <c r="Q343" s="5">
        <f>(E343*P343)*1.35*1.05*1.03*1.08</f>
        <v/>
      </c>
      <c r="R343" s="4" t="n">
        <v>152.96</v>
      </c>
      <c r="S343" s="5">
        <f>(E343*R343)*1.35*1.05*1.03*1.08</f>
        <v/>
      </c>
      <c r="T343" s="4" t="n">
        <v>152.96</v>
      </c>
      <c r="U343" s="5">
        <f>(E343*T343)*1.35*1.05*1.03*1.08</f>
        <v/>
      </c>
      <c r="V343" s="4">
        <f>F343+N343+P343+R343+T343</f>
        <v/>
      </c>
      <c r="W343" s="5">
        <f>M343+O343+Q343+S343+U343</f>
        <v/>
      </c>
    </row>
    <row r="344">
      <c r="A344" t="inlineStr">
        <is>
          <t>Fallon</t>
        </is>
      </c>
      <c r="B344" t="inlineStr">
        <is>
          <t>Heating, Ventilation and Air Conditioning</t>
        </is>
      </c>
      <c r="C344" t="inlineStr">
        <is>
          <t>SCA</t>
        </is>
      </c>
      <c r="D344" t="inlineStr">
        <is>
          <t>SCLS</t>
        </is>
      </c>
      <c r="E344" s="5" t="n">
        <v>29.04</v>
      </c>
      <c r="F344" s="4" t="n">
        <v>191.2</v>
      </c>
      <c r="G344" s="5">
        <f>E344*F344</f>
        <v/>
      </c>
      <c r="H344" s="5">
        <f>G344*0.35</f>
        <v/>
      </c>
      <c r="I344" s="5">
        <f>(G344+H344)*0.05</f>
        <v/>
      </c>
      <c r="J344" s="5">
        <f>(G344+H344+I344)*0.03</f>
        <v/>
      </c>
      <c r="K344" s="5">
        <f>G344+H344+I344+J344</f>
        <v/>
      </c>
      <c r="L344" s="5">
        <f>K344*0.08</f>
        <v/>
      </c>
      <c r="M344" s="5">
        <f>K344+L344</f>
        <v/>
      </c>
      <c r="N344" s="4" t="n">
        <v>38.24</v>
      </c>
      <c r="O344" s="5">
        <f>(E344*N344)*1.35*1.05*1.03*1.08</f>
        <v/>
      </c>
      <c r="P344" s="4" t="n">
        <v>38.24</v>
      </c>
      <c r="Q344" s="5">
        <f>(E344*P344)*1.35*1.05*1.03*1.08</f>
        <v/>
      </c>
      <c r="R344" s="4" t="n">
        <v>38.24</v>
      </c>
      <c r="S344" s="5">
        <f>(E344*R344)*1.35*1.05*1.03*1.08</f>
        <v/>
      </c>
      <c r="T344" s="4" t="n">
        <v>38.24</v>
      </c>
      <c r="U344" s="5">
        <f>(E344*T344)*1.35*1.05*1.03*1.08</f>
        <v/>
      </c>
      <c r="V344" s="4">
        <f>F344+N344+P344+R344+T344</f>
        <v/>
      </c>
      <c r="W344" s="5">
        <f>M344+O344+Q344+S344+U344</f>
        <v/>
      </c>
    </row>
    <row r="345">
      <c r="A345" t="inlineStr">
        <is>
          <t>Fallon</t>
        </is>
      </c>
      <c r="B345" t="inlineStr">
        <is>
          <t>Heavy Equipment Mechanic/Operator</t>
        </is>
      </c>
      <c r="C345" t="inlineStr">
        <is>
          <t>SCA</t>
        </is>
      </c>
      <c r="D345" t="inlineStr">
        <is>
          <t>CBA</t>
        </is>
      </c>
      <c r="E345" s="5" t="n">
        <v>40.62</v>
      </c>
      <c r="F345" s="4" t="n">
        <v>1529.6</v>
      </c>
      <c r="G345" s="5">
        <f>E345*F345</f>
        <v/>
      </c>
      <c r="H345" s="5">
        <f>G345*0.35</f>
        <v/>
      </c>
      <c r="I345" s="5">
        <f>(G345+H345)*0.05</f>
        <v/>
      </c>
      <c r="J345" s="5">
        <f>(G345+H345+I345)*0.03</f>
        <v/>
      </c>
      <c r="K345" s="5">
        <f>G345+H345+I345+J345</f>
        <v/>
      </c>
      <c r="L345" s="5">
        <f>K345*0.08</f>
        <v/>
      </c>
      <c r="M345" s="5">
        <f>K345+L345</f>
        <v/>
      </c>
      <c r="N345" s="4" t="n">
        <v>305.92</v>
      </c>
      <c r="O345" s="5">
        <f>(E345*N345)*1.35*1.05*1.03*1.08</f>
        <v/>
      </c>
      <c r="P345" s="4" t="n">
        <v>305.92</v>
      </c>
      <c r="Q345" s="5">
        <f>(E345*P345)*1.35*1.05*1.03*1.08</f>
        <v/>
      </c>
      <c r="R345" s="4" t="n">
        <v>305.92</v>
      </c>
      <c r="S345" s="5">
        <f>(E345*R345)*1.35*1.05*1.03*1.08</f>
        <v/>
      </c>
      <c r="T345" s="4" t="n">
        <v>305.92</v>
      </c>
      <c r="U345" s="5">
        <f>(E345*T345)*1.35*1.05*1.03*1.08</f>
        <v/>
      </c>
      <c r="V345" s="4">
        <f>F345+N345+P345+R345+T345</f>
        <v/>
      </c>
      <c r="W345" s="5">
        <f>M345+O345+Q345+S345+U345</f>
        <v/>
      </c>
    </row>
    <row r="346">
      <c r="A346" t="inlineStr">
        <is>
          <t>Fallon</t>
        </is>
      </c>
      <c r="B346" t="inlineStr">
        <is>
          <t>Machinist</t>
        </is>
      </c>
      <c r="C346" t="inlineStr">
        <is>
          <t>SCA</t>
        </is>
      </c>
      <c r="D346" t="inlineStr">
        <is>
          <t>CBA</t>
        </is>
      </c>
      <c r="E346" s="5" t="n">
        <v>27.23</v>
      </c>
      <c r="F346" s="4" t="n">
        <v>191.2</v>
      </c>
      <c r="G346" s="5">
        <f>E346*F346</f>
        <v/>
      </c>
      <c r="H346" s="5">
        <f>G346*0.35</f>
        <v/>
      </c>
      <c r="I346" s="5">
        <f>(G346+H346)*0.05</f>
        <v/>
      </c>
      <c r="J346" s="5">
        <f>(G346+H346+I346)*0.03</f>
        <v/>
      </c>
      <c r="K346" s="5">
        <f>G346+H346+I346+J346</f>
        <v/>
      </c>
      <c r="L346" s="5">
        <f>K346*0.08</f>
        <v/>
      </c>
      <c r="M346" s="5">
        <f>K346+L346</f>
        <v/>
      </c>
      <c r="N346" s="4" t="n">
        <v>38.24</v>
      </c>
      <c r="O346" s="5">
        <f>(E346*N346)*1.35*1.05*1.03*1.08</f>
        <v/>
      </c>
      <c r="P346" s="4" t="n">
        <v>38.24</v>
      </c>
      <c r="Q346" s="5">
        <f>(E346*P346)*1.35*1.05*1.03*1.08</f>
        <v/>
      </c>
      <c r="R346" s="4" t="n">
        <v>38.24</v>
      </c>
      <c r="S346" s="5">
        <f>(E346*R346)*1.35*1.05*1.03*1.08</f>
        <v/>
      </c>
      <c r="T346" s="4" t="n">
        <v>38.24</v>
      </c>
      <c r="U346" s="5">
        <f>(E346*T346)*1.35*1.05*1.03*1.08</f>
        <v/>
      </c>
      <c r="V346" s="4">
        <f>F346+N346+P346+R346+T346</f>
        <v/>
      </c>
      <c r="W346" s="5">
        <f>M346+O346+Q346+S346+U346</f>
        <v/>
      </c>
    </row>
    <row r="347">
      <c r="A347" t="inlineStr">
        <is>
          <t>Fallon</t>
        </is>
      </c>
      <c r="B347" t="inlineStr">
        <is>
          <t>Motor Vehicle Mechanic</t>
        </is>
      </c>
      <c r="C347" t="inlineStr">
        <is>
          <t>SCA</t>
        </is>
      </c>
      <c r="D347" t="inlineStr">
        <is>
          <t>CBA</t>
        </is>
      </c>
      <c r="E347" s="5" t="n">
        <v>28.56</v>
      </c>
      <c r="F347" s="4" t="n">
        <v>191.2</v>
      </c>
      <c r="G347" s="5">
        <f>E347*F347</f>
        <v/>
      </c>
      <c r="H347" s="5">
        <f>G347*0.35</f>
        <v/>
      </c>
      <c r="I347" s="5">
        <f>(G347+H347)*0.05</f>
        <v/>
      </c>
      <c r="J347" s="5">
        <f>(G347+H347+I347)*0.03</f>
        <v/>
      </c>
      <c r="K347" s="5">
        <f>G347+H347+I347+J347</f>
        <v/>
      </c>
      <c r="L347" s="5">
        <f>K347*0.08</f>
        <v/>
      </c>
      <c r="M347" s="5">
        <f>K347+L347</f>
        <v/>
      </c>
      <c r="N347" s="4" t="n">
        <v>38.24</v>
      </c>
      <c r="O347" s="5">
        <f>(E347*N347)*1.35*1.05*1.03*1.08</f>
        <v/>
      </c>
      <c r="P347" s="4" t="n">
        <v>38.24</v>
      </c>
      <c r="Q347" s="5">
        <f>(E347*P347)*1.35*1.05*1.03*1.08</f>
        <v/>
      </c>
      <c r="R347" s="4" t="n">
        <v>38.24</v>
      </c>
      <c r="S347" s="5">
        <f>(E347*R347)*1.35*1.05*1.03*1.08</f>
        <v/>
      </c>
      <c r="T347" s="4" t="n">
        <v>38.24</v>
      </c>
      <c r="U347" s="5">
        <f>(E347*T347)*1.35*1.05*1.03*1.08</f>
        <v/>
      </c>
      <c r="V347" s="4">
        <f>F347+N347+P347+R347+T347</f>
        <v/>
      </c>
      <c r="W347" s="5">
        <f>M347+O347+Q347+S347+U347</f>
        <v/>
      </c>
    </row>
    <row r="348">
      <c r="A348" t="inlineStr">
        <is>
          <t>Fallon</t>
        </is>
      </c>
      <c r="B348" t="inlineStr">
        <is>
          <t>Automotive Worker</t>
        </is>
      </c>
      <c r="C348" t="inlineStr">
        <is>
          <t>SCA</t>
        </is>
      </c>
      <c r="D348" t="inlineStr">
        <is>
          <t>CBA</t>
        </is>
      </c>
      <c r="E348" s="5" t="n">
        <v>25.75</v>
      </c>
      <c r="F348" s="4" t="n">
        <v>191.2</v>
      </c>
      <c r="G348" s="5">
        <f>E348*F348</f>
        <v/>
      </c>
      <c r="H348" s="5">
        <f>G348*0.35</f>
        <v/>
      </c>
      <c r="I348" s="5">
        <f>(G348+H348)*0.05</f>
        <v/>
      </c>
      <c r="J348" s="5">
        <f>(G348+H348+I348)*0.03</f>
        <v/>
      </c>
      <c r="K348" s="5">
        <f>G348+H348+I348+J348</f>
        <v/>
      </c>
      <c r="L348" s="5">
        <f>K348*0.08</f>
        <v/>
      </c>
      <c r="M348" s="5">
        <f>K348+L348</f>
        <v/>
      </c>
      <c r="N348" s="4" t="n">
        <v>38.24</v>
      </c>
      <c r="O348" s="5">
        <f>(E348*N348)*1.35*1.05*1.03*1.08</f>
        <v/>
      </c>
      <c r="P348" s="4" t="n">
        <v>38.24</v>
      </c>
      <c r="Q348" s="5">
        <f>(E348*P348)*1.35*1.05*1.03*1.08</f>
        <v/>
      </c>
      <c r="R348" s="4" t="n">
        <v>38.24</v>
      </c>
      <c r="S348" s="5">
        <f>(E348*R348)*1.35*1.05*1.03*1.08</f>
        <v/>
      </c>
      <c r="T348" s="4" t="n">
        <v>38.24</v>
      </c>
      <c r="U348" s="5">
        <f>(E348*T348)*1.35*1.05*1.03*1.08</f>
        <v/>
      </c>
      <c r="V348" s="4">
        <f>F348+N348+P348+R348+T348</f>
        <v/>
      </c>
      <c r="W348" s="5">
        <f>M348+O348+Q348+S348+U348</f>
        <v/>
      </c>
    </row>
    <row r="349">
      <c r="A349" t="inlineStr">
        <is>
          <t>Fallon</t>
        </is>
      </c>
      <c r="B349" t="inlineStr">
        <is>
          <t>METROLOGY TECHNICIAN I</t>
        </is>
      </c>
      <c r="C349" t="inlineStr">
        <is>
          <t>SCA</t>
        </is>
      </c>
      <c r="D349" t="inlineStr">
        <is>
          <t>CBA</t>
        </is>
      </c>
      <c r="E349" s="5" t="n">
        <v>35.38</v>
      </c>
      <c r="F349" s="4" t="n">
        <v>191.2</v>
      </c>
      <c r="G349" s="5">
        <f>E349*F349</f>
        <v/>
      </c>
      <c r="H349" s="5">
        <f>G349*0.35</f>
        <v/>
      </c>
      <c r="I349" s="5">
        <f>(G349+H349)*0.05</f>
        <v/>
      </c>
      <c r="J349" s="5">
        <f>(G349+H349+I349)*0.03</f>
        <v/>
      </c>
      <c r="K349" s="5">
        <f>G349+H349+I349+J349</f>
        <v/>
      </c>
      <c r="L349" s="5">
        <f>K349*0.08</f>
        <v/>
      </c>
      <c r="M349" s="5">
        <f>K349+L349</f>
        <v/>
      </c>
      <c r="N349" s="4" t="n">
        <v>38.24</v>
      </c>
      <c r="O349" s="5">
        <f>(E349*N349)*1.35*1.05*1.03*1.08</f>
        <v/>
      </c>
      <c r="P349" s="4" t="n">
        <v>38.24</v>
      </c>
      <c r="Q349" s="5">
        <f>(E349*P349)*1.35*1.05*1.03*1.08</f>
        <v/>
      </c>
      <c r="R349" s="4" t="n">
        <v>38.24</v>
      </c>
      <c r="S349" s="5">
        <f>(E349*R349)*1.35*1.05*1.03*1.08</f>
        <v/>
      </c>
      <c r="T349" s="4" t="n">
        <v>38.24</v>
      </c>
      <c r="U349" s="5">
        <f>(E349*T349)*1.35*1.05*1.03*1.08</f>
        <v/>
      </c>
      <c r="V349" s="4">
        <f>F349+N349+P349+R349+T349</f>
        <v/>
      </c>
      <c r="W349" s="5">
        <f>M349+O349+Q349+S349+U349</f>
        <v/>
      </c>
    </row>
    <row r="350">
      <c r="A350" t="inlineStr">
        <is>
          <t>Fallon</t>
        </is>
      </c>
      <c r="B350" t="inlineStr">
        <is>
          <t xml:space="preserve">Surveyor </t>
        </is>
      </c>
      <c r="C350" t="inlineStr">
        <is>
          <t>Non-SCA</t>
        </is>
      </c>
      <c r="D350" t="inlineStr">
        <is>
          <t>CBA</t>
        </is>
      </c>
      <c r="E350" s="5" t="n">
        <v>80</v>
      </c>
      <c r="F350" s="4" t="n">
        <v>191.2</v>
      </c>
      <c r="G350" s="5">
        <f>E350*F350</f>
        <v/>
      </c>
      <c r="H350" s="5">
        <f>G350*0.35</f>
        <v/>
      </c>
      <c r="I350" s="5">
        <f>(G350+H350)*0.05</f>
        <v/>
      </c>
      <c r="J350" s="5">
        <f>(G350+H350+I350)*0.03</f>
        <v/>
      </c>
      <c r="K350" s="5">
        <f>G350+H350+I350+J350</f>
        <v/>
      </c>
      <c r="L350" s="5">
        <f>K350*0.08</f>
        <v/>
      </c>
      <c r="M350" s="5">
        <f>K350+L350</f>
        <v/>
      </c>
      <c r="N350" s="4" t="n">
        <v>38.24</v>
      </c>
      <c r="O350" s="5">
        <f>(E350*N350)*1.35*1.05*1.03*1.08</f>
        <v/>
      </c>
      <c r="P350" s="4" t="n">
        <v>38.24</v>
      </c>
      <c r="Q350" s="5">
        <f>(E350*P350)*1.35*1.05*1.03*1.08</f>
        <v/>
      </c>
      <c r="R350" s="4" t="n">
        <v>38.24</v>
      </c>
      <c r="S350" s="5">
        <f>(E350*R350)*1.35*1.05*1.03*1.08</f>
        <v/>
      </c>
      <c r="T350" s="4" t="n">
        <v>38.24</v>
      </c>
      <c r="U350" s="5">
        <f>(E350*T350)*1.35*1.05*1.03*1.08</f>
        <v/>
      </c>
      <c r="V350" s="4">
        <f>F350+N350+P350+R350+T350</f>
        <v/>
      </c>
      <c r="W350" s="5">
        <f>M350+O350+Q350+S350+U350</f>
        <v/>
      </c>
    </row>
    <row r="351">
      <c r="A351" t="inlineStr">
        <is>
          <t>Fallon</t>
        </is>
      </c>
      <c r="B351" t="inlineStr">
        <is>
          <t>Maintenance Coordinator</t>
        </is>
      </c>
      <c r="C351" t="inlineStr">
        <is>
          <t>Non-SCA</t>
        </is>
      </c>
      <c r="D351" t="inlineStr">
        <is>
          <t>Exempt</t>
        </is>
      </c>
      <c r="E351" s="5" t="n">
        <v>80</v>
      </c>
      <c r="F351" s="4" t="n">
        <v>573.6</v>
      </c>
      <c r="G351" s="5">
        <f>E351*F351</f>
        <v/>
      </c>
      <c r="H351" s="5">
        <f>G351*0.35</f>
        <v/>
      </c>
      <c r="I351" s="5">
        <f>(G351+H351)*0.05</f>
        <v/>
      </c>
      <c r="J351" s="5">
        <f>(G351+H351+I351)*0.03</f>
        <v/>
      </c>
      <c r="K351" s="5">
        <f>G351+H351+I351+J351</f>
        <v/>
      </c>
      <c r="L351" s="5">
        <f>K351*0.08</f>
        <v/>
      </c>
      <c r="M351" s="5">
        <f>K351+L351</f>
        <v/>
      </c>
      <c r="N351" s="4" t="n">
        <v>114.72</v>
      </c>
      <c r="O351" s="5">
        <f>(E351*N351)*1.35*1.05*1.03*1.08</f>
        <v/>
      </c>
      <c r="P351" s="4" t="n">
        <v>114.72</v>
      </c>
      <c r="Q351" s="5">
        <f>(E351*P351)*1.35*1.05*1.03*1.08</f>
        <v/>
      </c>
      <c r="R351" s="4" t="n">
        <v>114.72</v>
      </c>
      <c r="S351" s="5">
        <f>(E351*R351)*1.35*1.05*1.03*1.08</f>
        <v/>
      </c>
      <c r="T351" s="4" t="n">
        <v>114.72</v>
      </c>
      <c r="U351" s="5">
        <f>(E351*T351)*1.35*1.05*1.03*1.08</f>
        <v/>
      </c>
      <c r="V351" s="4">
        <f>F351+N351+P351+R351+T351</f>
        <v/>
      </c>
      <c r="W351" s="5">
        <f>M351+O351+Q351+S351+U351</f>
        <v/>
      </c>
    </row>
    <row r="352">
      <c r="A352" t="inlineStr">
        <is>
          <t>Fallon</t>
        </is>
      </c>
      <c r="B352" t="inlineStr">
        <is>
          <t>Logistician Analyst IV</t>
        </is>
      </c>
      <c r="C352" t="inlineStr">
        <is>
          <t>Non-SCA</t>
        </is>
      </c>
      <c r="D352" t="inlineStr">
        <is>
          <t>Exempt</t>
        </is>
      </c>
      <c r="E352" s="5" t="n">
        <v>75</v>
      </c>
      <c r="F352" s="4" t="n">
        <v>191.2</v>
      </c>
      <c r="G352" s="5">
        <f>E352*F352</f>
        <v/>
      </c>
      <c r="H352" s="5">
        <f>G352*0.35</f>
        <v/>
      </c>
      <c r="I352" s="5">
        <f>(G352+H352)*0.05</f>
        <v/>
      </c>
      <c r="J352" s="5">
        <f>(G352+H352+I352)*0.03</f>
        <v/>
      </c>
      <c r="K352" s="5">
        <f>G352+H352+I352+J352</f>
        <v/>
      </c>
      <c r="L352" s="5">
        <f>K352*0.08</f>
        <v/>
      </c>
      <c r="M352" s="5">
        <f>K352+L352</f>
        <v/>
      </c>
      <c r="N352" s="4" t="n">
        <v>38.24</v>
      </c>
      <c r="O352" s="5">
        <f>(E352*N352)*1.35*1.05*1.03*1.08</f>
        <v/>
      </c>
      <c r="P352" s="4" t="n">
        <v>38.24</v>
      </c>
      <c r="Q352" s="5">
        <f>(E352*P352)*1.35*1.05*1.03*1.08</f>
        <v/>
      </c>
      <c r="R352" s="4" t="n">
        <v>38.24</v>
      </c>
      <c r="S352" s="5">
        <f>(E352*R352)*1.35*1.05*1.03*1.08</f>
        <v/>
      </c>
      <c r="T352" s="4" t="n">
        <v>38.24</v>
      </c>
      <c r="U352" s="5">
        <f>(E352*T352)*1.35*1.05*1.03*1.08</f>
        <v/>
      </c>
      <c r="V352" s="4">
        <f>F352+N352+P352+R352+T352</f>
        <v/>
      </c>
      <c r="W352" s="5">
        <f>M352+O352+Q352+S352+U352</f>
        <v/>
      </c>
    </row>
    <row r="353">
      <c r="A353" t="inlineStr">
        <is>
          <t>Fallon</t>
        </is>
      </c>
      <c r="B353" t="inlineStr">
        <is>
          <t>Supply Technician</t>
        </is>
      </c>
      <c r="C353" t="inlineStr">
        <is>
          <t>SCA</t>
        </is>
      </c>
      <c r="D353" t="inlineStr">
        <is>
          <t>CBA</t>
        </is>
      </c>
      <c r="E353" s="5" t="n">
        <v>30.26</v>
      </c>
      <c r="F353" s="4" t="n">
        <v>573.6</v>
      </c>
      <c r="G353" s="5">
        <f>E353*F353</f>
        <v/>
      </c>
      <c r="H353" s="5">
        <f>G353*0.35</f>
        <v/>
      </c>
      <c r="I353" s="5">
        <f>(G353+H353)*0.05</f>
        <v/>
      </c>
      <c r="J353" s="5">
        <f>(G353+H353+I353)*0.03</f>
        <v/>
      </c>
      <c r="K353" s="5">
        <f>G353+H353+I353+J353</f>
        <v/>
      </c>
      <c r="L353" s="5">
        <f>K353*0.08</f>
        <v/>
      </c>
      <c r="M353" s="5">
        <f>K353+L353</f>
        <v/>
      </c>
      <c r="N353" s="4" t="n">
        <v>114.72</v>
      </c>
      <c r="O353" s="5">
        <f>(E353*N353)*1.35*1.05*1.03*1.08</f>
        <v/>
      </c>
      <c r="P353" s="4" t="n">
        <v>114.72</v>
      </c>
      <c r="Q353" s="5">
        <f>(E353*P353)*1.35*1.05*1.03*1.08</f>
        <v/>
      </c>
      <c r="R353" s="4" t="n">
        <v>114.72</v>
      </c>
      <c r="S353" s="5">
        <f>(E353*R353)*1.35*1.05*1.03*1.08</f>
        <v/>
      </c>
      <c r="T353" s="4" t="n">
        <v>114.72</v>
      </c>
      <c r="U353" s="5">
        <f>(E353*T353)*1.35*1.05*1.03*1.08</f>
        <v/>
      </c>
      <c r="V353" s="4">
        <f>F353+N353+P353+R353+T353</f>
        <v/>
      </c>
      <c r="W353" s="5">
        <f>M353+O353+Q353+S353+U353</f>
        <v/>
      </c>
    </row>
    <row r="354">
      <c r="A354" t="inlineStr">
        <is>
          <t>Fallon</t>
        </is>
      </c>
      <c r="B354" t="inlineStr">
        <is>
          <t>Security Coordinator</t>
        </is>
      </c>
      <c r="C354" t="inlineStr">
        <is>
          <t>Non-SCA</t>
        </is>
      </c>
      <c r="D354" t="inlineStr">
        <is>
          <t>Exempt</t>
        </is>
      </c>
      <c r="E354" s="5" t="n">
        <v>70</v>
      </c>
      <c r="F354" s="4" t="n">
        <v>1338.4</v>
      </c>
      <c r="G354" s="5">
        <f>E354*F354</f>
        <v/>
      </c>
      <c r="H354" s="5">
        <f>G354*0.35</f>
        <v/>
      </c>
      <c r="I354" s="5">
        <f>(G354+H354)*0.05</f>
        <v/>
      </c>
      <c r="J354" s="5">
        <f>(G354+H354+I354)*0.03</f>
        <v/>
      </c>
      <c r="K354" s="5">
        <f>G354+H354+I354+J354</f>
        <v/>
      </c>
      <c r="L354" s="5">
        <f>K354*0.08</f>
        <v/>
      </c>
      <c r="M354" s="5">
        <f>K354+L354</f>
        <v/>
      </c>
      <c r="N354" s="4" t="n">
        <v>267.68</v>
      </c>
      <c r="O354" s="5">
        <f>(E354*N354)*1.35*1.05*1.03*1.08</f>
        <v/>
      </c>
      <c r="P354" s="4" t="n">
        <v>267.68</v>
      </c>
      <c r="Q354" s="5">
        <f>(E354*P354)*1.35*1.05*1.03*1.08</f>
        <v/>
      </c>
      <c r="R354" s="4" t="n">
        <v>267.68</v>
      </c>
      <c r="S354" s="5">
        <f>(E354*R354)*1.35*1.05*1.03*1.08</f>
        <v/>
      </c>
      <c r="T354" s="4" t="n">
        <v>267.68</v>
      </c>
      <c r="U354" s="5">
        <f>(E354*T354)*1.35*1.05*1.03*1.08</f>
        <v/>
      </c>
      <c r="V354" s="4">
        <f>F354+N354+P354+R354+T354</f>
        <v/>
      </c>
      <c r="W354" s="5">
        <f>M354+O354+Q354+S354+U354</f>
        <v/>
      </c>
    </row>
    <row r="355">
      <c r="A355" t="inlineStr">
        <is>
          <t>Fallon</t>
        </is>
      </c>
      <c r="B355" t="inlineStr">
        <is>
          <t>Quality Assurance/Safety Evaluator</t>
        </is>
      </c>
      <c r="C355" t="inlineStr">
        <is>
          <t>Non-SCA</t>
        </is>
      </c>
      <c r="D355" t="inlineStr">
        <is>
          <t>CBA</t>
        </is>
      </c>
      <c r="E355" s="5" t="n">
        <v>75</v>
      </c>
      <c r="F355" s="4" t="n">
        <v>1147.2</v>
      </c>
      <c r="G355" s="5">
        <f>E355*F355</f>
        <v/>
      </c>
      <c r="H355" s="5">
        <f>G355*0.35</f>
        <v/>
      </c>
      <c r="I355" s="5">
        <f>(G355+H355)*0.05</f>
        <v/>
      </c>
      <c r="J355" s="5">
        <f>(G355+H355+I355)*0.03</f>
        <v/>
      </c>
      <c r="K355" s="5">
        <f>G355+H355+I355+J355</f>
        <v/>
      </c>
      <c r="L355" s="5">
        <f>K355*0.08</f>
        <v/>
      </c>
      <c r="M355" s="5">
        <f>K355+L355</f>
        <v/>
      </c>
      <c r="N355" s="4" t="n">
        <v>229.44</v>
      </c>
      <c r="O355" s="5">
        <f>(E355*N355)*1.35*1.05*1.03*1.08</f>
        <v/>
      </c>
      <c r="P355" s="4" t="n">
        <v>229.44</v>
      </c>
      <c r="Q355" s="5">
        <f>(E355*P355)*1.35*1.05*1.03*1.08</f>
        <v/>
      </c>
      <c r="R355" s="4" t="n">
        <v>229.44</v>
      </c>
      <c r="S355" s="5">
        <f>(E355*R355)*1.35*1.05*1.03*1.08</f>
        <v/>
      </c>
      <c r="T355" s="4" t="n">
        <v>229.44</v>
      </c>
      <c r="U355" s="5">
        <f>(E355*T355)*1.35*1.05*1.03*1.08</f>
        <v/>
      </c>
      <c r="V355" s="4">
        <f>F355+N355+P355+R355+T355</f>
        <v/>
      </c>
      <c r="W355" s="5">
        <f>M355+O355+Q355+S355+U355</f>
        <v/>
      </c>
    </row>
    <row r="356">
      <c r="A356" t="inlineStr">
        <is>
          <t>Fallon</t>
        </is>
      </c>
      <c r="B356" t="inlineStr">
        <is>
          <t>Quality Control Inspector</t>
        </is>
      </c>
      <c r="C356" t="inlineStr">
        <is>
          <t>Non-SCA</t>
        </is>
      </c>
      <c r="D356" t="inlineStr">
        <is>
          <t>Exempt</t>
        </is>
      </c>
      <c r="E356" s="5" t="n">
        <v>80</v>
      </c>
      <c r="F356" s="4" t="n">
        <v>191.2</v>
      </c>
      <c r="G356" s="5">
        <f>E356*F356</f>
        <v/>
      </c>
      <c r="H356" s="5">
        <f>G356*0.35</f>
        <v/>
      </c>
      <c r="I356" s="5">
        <f>(G356+H356)*0.05</f>
        <v/>
      </c>
      <c r="J356" s="5">
        <f>(G356+H356+I356)*0.03</f>
        <v/>
      </c>
      <c r="K356" s="5">
        <f>G356+H356+I356+J356</f>
        <v/>
      </c>
      <c r="L356" s="5">
        <f>K356*0.08</f>
        <v/>
      </c>
      <c r="M356" s="5">
        <f>K356+L356</f>
        <v/>
      </c>
      <c r="N356" s="4" t="n">
        <v>38.24</v>
      </c>
      <c r="O356" s="5">
        <f>(E356*N356)*1.35*1.05*1.03*1.08</f>
        <v/>
      </c>
      <c r="P356" s="4" t="n">
        <v>38.24</v>
      </c>
      <c r="Q356" s="5">
        <f>(E356*P356)*1.35*1.05*1.03*1.08</f>
        <v/>
      </c>
      <c r="R356" s="4" t="n">
        <v>38.24</v>
      </c>
      <c r="S356" s="5">
        <f>(E356*R356)*1.35*1.05*1.03*1.08</f>
        <v/>
      </c>
      <c r="T356" s="4" t="n">
        <v>38.24</v>
      </c>
      <c r="U356" s="5">
        <f>(E356*T356)*1.35*1.05*1.03*1.08</f>
        <v/>
      </c>
      <c r="V356" s="4">
        <f>F356+N356+P356+R356+T356</f>
        <v/>
      </c>
      <c r="W356" s="5">
        <f>M356+O356+Q356+S356+U356</f>
        <v/>
      </c>
    </row>
    <row r="357">
      <c r="A357" t="inlineStr">
        <is>
          <t>PNW</t>
        </is>
      </c>
      <c r="B357" t="inlineStr">
        <is>
          <t>Site Lead</t>
        </is>
      </c>
      <c r="C357" t="inlineStr">
        <is>
          <t>Non-SCA</t>
        </is>
      </c>
      <c r="D357" t="inlineStr">
        <is>
          <t>Exempt</t>
        </is>
      </c>
      <c r="E357" s="5" t="n">
        <v>80</v>
      </c>
      <c r="F357" s="4" t="n">
        <v>191.2</v>
      </c>
      <c r="G357" s="5">
        <f>E357*F357</f>
        <v/>
      </c>
      <c r="H357" s="5">
        <f>G357*0.35</f>
        <v/>
      </c>
      <c r="I357" s="5">
        <f>(G357+H357)*0.05</f>
        <v/>
      </c>
      <c r="J357" s="5">
        <f>(G357+H357+I357)*0.03</f>
        <v/>
      </c>
      <c r="K357" s="5">
        <f>G357+H357+I357+J357</f>
        <v/>
      </c>
      <c r="L357" s="5">
        <f>K357*0.08</f>
        <v/>
      </c>
      <c r="M357" s="5">
        <f>K357+L357</f>
        <v/>
      </c>
      <c r="N357" s="4" t="n">
        <v>38.24</v>
      </c>
      <c r="O357" s="5">
        <f>(E357*N357)*1.35*1.05*1.03*1.08</f>
        <v/>
      </c>
      <c r="P357" s="4" t="n">
        <v>38.24</v>
      </c>
      <c r="Q357" s="5">
        <f>(E357*P357)*1.35*1.05*1.03*1.08</f>
        <v/>
      </c>
      <c r="R357" s="4" t="n">
        <v>38.24</v>
      </c>
      <c r="S357" s="5">
        <f>(E357*R357)*1.35*1.05*1.03*1.08</f>
        <v/>
      </c>
      <c r="T357" s="4" t="n">
        <v>38.24</v>
      </c>
      <c r="U357" s="5">
        <f>(E357*T357)*1.35*1.05*1.03*1.08</f>
        <v/>
      </c>
      <c r="V357" s="4">
        <f>F357+N357+P357+R357+T357</f>
        <v/>
      </c>
      <c r="W357" s="5">
        <f>M357+O357+Q357+S357+U357</f>
        <v/>
      </c>
    </row>
    <row r="358">
      <c r="A358" t="inlineStr">
        <is>
          <t>PNW</t>
        </is>
      </c>
      <c r="B358" t="inlineStr">
        <is>
          <t>Mission Coordinator</t>
        </is>
      </c>
      <c r="C358" t="inlineStr">
        <is>
          <t>Non-SCA</t>
        </is>
      </c>
      <c r="D358" t="inlineStr">
        <is>
          <t>Exempt</t>
        </is>
      </c>
      <c r="E358" s="5" t="n">
        <v>85</v>
      </c>
      <c r="F358" s="4" t="n">
        <v>764.8000000000001</v>
      </c>
      <c r="G358" s="5">
        <f>E358*F358</f>
        <v/>
      </c>
      <c r="H358" s="5">
        <f>G358*0.35</f>
        <v/>
      </c>
      <c r="I358" s="5">
        <f>(G358+H358)*0.05</f>
        <v/>
      </c>
      <c r="J358" s="5">
        <f>(G358+H358+I358)*0.03</f>
        <v/>
      </c>
      <c r="K358" s="5">
        <f>G358+H358+I358+J358</f>
        <v/>
      </c>
      <c r="L358" s="5">
        <f>K358*0.08</f>
        <v/>
      </c>
      <c r="M358" s="5">
        <f>K358+L358</f>
        <v/>
      </c>
      <c r="N358" s="4" t="n">
        <v>152.96</v>
      </c>
      <c r="O358" s="5">
        <f>(E358*N358)*1.35*1.05*1.03*1.08</f>
        <v/>
      </c>
      <c r="P358" s="4" t="n">
        <v>152.96</v>
      </c>
      <c r="Q358" s="5">
        <f>(E358*P358)*1.35*1.05*1.03*1.08</f>
        <v/>
      </c>
      <c r="R358" s="4" t="n">
        <v>152.96</v>
      </c>
      <c r="S358" s="5">
        <f>(E358*R358)*1.35*1.05*1.03*1.08</f>
        <v/>
      </c>
      <c r="T358" s="4" t="n">
        <v>152.96</v>
      </c>
      <c r="U358" s="5">
        <f>(E358*T358)*1.35*1.05*1.03*1.08</f>
        <v/>
      </c>
      <c r="V358" s="4">
        <f>F358+N358+P358+R358+T358</f>
        <v/>
      </c>
      <c r="W358" s="5">
        <f>M358+O358+Q358+S358+U358</f>
        <v/>
      </c>
    </row>
    <row r="359">
      <c r="A359" t="inlineStr">
        <is>
          <t>PNW</t>
        </is>
      </c>
      <c r="B359" t="inlineStr">
        <is>
          <t>Mission Coordinator, Senior</t>
        </is>
      </c>
      <c r="C359" t="inlineStr">
        <is>
          <t>Non-SCA</t>
        </is>
      </c>
      <c r="D359" t="inlineStr">
        <is>
          <t>Exempt</t>
        </is>
      </c>
      <c r="E359" s="5" t="n">
        <v>95</v>
      </c>
      <c r="F359" s="4" t="n">
        <v>382.4</v>
      </c>
      <c r="G359" s="5">
        <f>E359*F359</f>
        <v/>
      </c>
      <c r="H359" s="5">
        <f>G359*0.35</f>
        <v/>
      </c>
      <c r="I359" s="5">
        <f>(G359+H359)*0.05</f>
        <v/>
      </c>
      <c r="J359" s="5">
        <f>(G359+H359+I359)*0.03</f>
        <v/>
      </c>
      <c r="K359" s="5">
        <f>G359+H359+I359+J359</f>
        <v/>
      </c>
      <c r="L359" s="5">
        <f>K359*0.08</f>
        <v/>
      </c>
      <c r="M359" s="5">
        <f>K359+L359</f>
        <v/>
      </c>
      <c r="N359" s="4" t="n">
        <v>76.48</v>
      </c>
      <c r="O359" s="5">
        <f>(E359*N359)*1.35*1.05*1.03*1.08</f>
        <v/>
      </c>
      <c r="P359" s="4" t="n">
        <v>76.48</v>
      </c>
      <c r="Q359" s="5">
        <f>(E359*P359)*1.35*1.05*1.03*1.08</f>
        <v/>
      </c>
      <c r="R359" s="4" t="n">
        <v>76.48</v>
      </c>
      <c r="S359" s="5">
        <f>(E359*R359)*1.35*1.05*1.03*1.08</f>
        <v/>
      </c>
      <c r="T359" s="4" t="n">
        <v>76.48</v>
      </c>
      <c r="U359" s="5">
        <f>(E359*T359)*1.35*1.05*1.03*1.08</f>
        <v/>
      </c>
      <c r="V359" s="4">
        <f>F359+N359+P359+R359+T359</f>
        <v/>
      </c>
      <c r="W359" s="5">
        <f>M359+O359+Q359+S359+U359</f>
        <v/>
      </c>
    </row>
    <row r="360">
      <c r="A360" t="inlineStr">
        <is>
          <t>PNW</t>
        </is>
      </c>
      <c r="B360" t="inlineStr">
        <is>
          <t>Technical Support Specialist</t>
        </is>
      </c>
      <c r="C360" t="inlineStr">
        <is>
          <t>Non-SCA</t>
        </is>
      </c>
      <c r="D360" t="inlineStr">
        <is>
          <t>Exempt</t>
        </is>
      </c>
      <c r="E360" s="5" t="n">
        <v>80</v>
      </c>
      <c r="F360" s="4" t="n">
        <v>573.6</v>
      </c>
      <c r="G360" s="5">
        <f>E360*F360</f>
        <v/>
      </c>
      <c r="H360" s="5">
        <f>G360*0.35</f>
        <v/>
      </c>
      <c r="I360" s="5">
        <f>(G360+H360)*0.05</f>
        <v/>
      </c>
      <c r="J360" s="5">
        <f>(G360+H360+I360)*0.03</f>
        <v/>
      </c>
      <c r="K360" s="5">
        <f>G360+H360+I360+J360</f>
        <v/>
      </c>
      <c r="L360" s="5">
        <f>K360*0.08</f>
        <v/>
      </c>
      <c r="M360" s="5">
        <f>K360+L360</f>
        <v/>
      </c>
      <c r="N360" s="4" t="n">
        <v>114.72</v>
      </c>
      <c r="O360" s="5">
        <f>(E360*N360)*1.35*1.05*1.03*1.08</f>
        <v/>
      </c>
      <c r="P360" s="4" t="n">
        <v>114.72</v>
      </c>
      <c r="Q360" s="5">
        <f>(E360*P360)*1.35*1.05*1.03*1.08</f>
        <v/>
      </c>
      <c r="R360" s="4" t="n">
        <v>114.72</v>
      </c>
      <c r="S360" s="5">
        <f>(E360*R360)*1.35*1.05*1.03*1.08</f>
        <v/>
      </c>
      <c r="T360" s="4" t="n">
        <v>114.72</v>
      </c>
      <c r="U360" s="5">
        <f>(E360*T360)*1.35*1.05*1.03*1.08</f>
        <v/>
      </c>
      <c r="V360" s="4">
        <f>F360+N360+P360+R360+T360</f>
        <v/>
      </c>
      <c r="W360" s="5">
        <f>M360+O360+Q360+S360+U360</f>
        <v/>
      </c>
    </row>
    <row r="361">
      <c r="A361" t="inlineStr">
        <is>
          <t>PNW</t>
        </is>
      </c>
      <c r="B361" t="inlineStr">
        <is>
          <t>Tactical Data Link Analyst</t>
        </is>
      </c>
      <c r="C361" t="inlineStr">
        <is>
          <t>Non-SCA</t>
        </is>
      </c>
      <c r="D361" t="inlineStr">
        <is>
          <t>Exempt</t>
        </is>
      </c>
      <c r="E361" s="5" t="n">
        <v>75</v>
      </c>
      <c r="F361" s="4" t="n">
        <v>382.4</v>
      </c>
      <c r="G361" s="5">
        <f>E361*F361</f>
        <v/>
      </c>
      <c r="H361" s="5">
        <f>G361*0.35</f>
        <v/>
      </c>
      <c r="I361" s="5">
        <f>(G361+H361)*0.05</f>
        <v/>
      </c>
      <c r="J361" s="5">
        <f>(G361+H361+I361)*0.03</f>
        <v/>
      </c>
      <c r="K361" s="5">
        <f>G361+H361+I361+J361</f>
        <v/>
      </c>
      <c r="L361" s="5">
        <f>K361*0.08</f>
        <v/>
      </c>
      <c r="M361" s="5">
        <f>K361+L361</f>
        <v/>
      </c>
      <c r="N361" s="4" t="n">
        <v>76.48</v>
      </c>
      <c r="O361" s="5">
        <f>(E361*N361)*1.35*1.05*1.03*1.08</f>
        <v/>
      </c>
      <c r="P361" s="4" t="n">
        <v>76.48</v>
      </c>
      <c r="Q361" s="5">
        <f>(E361*P361)*1.35*1.05*1.03*1.08</f>
        <v/>
      </c>
      <c r="R361" s="4" t="n">
        <v>76.48</v>
      </c>
      <c r="S361" s="5">
        <f>(E361*R361)*1.35*1.05*1.03*1.08</f>
        <v/>
      </c>
      <c r="T361" s="4" t="n">
        <v>76.48</v>
      </c>
      <c r="U361" s="5">
        <f>(E361*T361)*1.35*1.05*1.03*1.08</f>
        <v/>
      </c>
      <c r="V361" s="4">
        <f>F361+N361+P361+R361+T361</f>
        <v/>
      </c>
      <c r="W361" s="5">
        <f>M361+O361+Q361+S361+U361</f>
        <v/>
      </c>
    </row>
    <row r="362">
      <c r="A362" t="inlineStr">
        <is>
          <t>PNW</t>
        </is>
      </c>
      <c r="B362" t="inlineStr">
        <is>
          <t>Engineering Technician IV</t>
        </is>
      </c>
      <c r="C362" t="inlineStr">
        <is>
          <t>SCA</t>
        </is>
      </c>
      <c r="D362" t="inlineStr">
        <is>
          <t>SCLS</t>
        </is>
      </c>
      <c r="E362" s="5" t="n">
        <v>31.22</v>
      </c>
      <c r="F362" s="4" t="n">
        <v>764.8000000000001</v>
      </c>
      <c r="G362" s="5">
        <f>E362*F362</f>
        <v/>
      </c>
      <c r="H362" s="5">
        <f>G362*0.35</f>
        <v/>
      </c>
      <c r="I362" s="5">
        <f>(G362+H362)*0.05</f>
        <v/>
      </c>
      <c r="J362" s="5">
        <f>(G362+H362+I362)*0.03</f>
        <v/>
      </c>
      <c r="K362" s="5">
        <f>G362+H362+I362+J362</f>
        <v/>
      </c>
      <c r="L362" s="5">
        <f>K362*0.08</f>
        <v/>
      </c>
      <c r="M362" s="5">
        <f>K362+L362</f>
        <v/>
      </c>
      <c r="N362" s="4" t="n">
        <v>152.96</v>
      </c>
      <c r="O362" s="5">
        <f>(E362*N362)*1.35*1.05*1.03*1.08</f>
        <v/>
      </c>
      <c r="P362" s="4" t="n">
        <v>152.96</v>
      </c>
      <c r="Q362" s="5">
        <f>(E362*P362)*1.35*1.05*1.03*1.08</f>
        <v/>
      </c>
      <c r="R362" s="4" t="n">
        <v>152.96</v>
      </c>
      <c r="S362" s="5">
        <f>(E362*R362)*1.35*1.05*1.03*1.08</f>
        <v/>
      </c>
      <c r="T362" s="4" t="n">
        <v>152.96</v>
      </c>
      <c r="U362" s="5">
        <f>(E362*T362)*1.35*1.05*1.03*1.08</f>
        <v/>
      </c>
      <c r="V362" s="4">
        <f>F362+N362+P362+R362+T362</f>
        <v/>
      </c>
      <c r="W362" s="5">
        <f>M362+O362+Q362+S362+U362</f>
        <v/>
      </c>
    </row>
    <row r="363">
      <c r="A363" t="inlineStr">
        <is>
          <t>PNW</t>
        </is>
      </c>
      <c r="B363" t="inlineStr">
        <is>
          <t>Electronics Technician I</t>
        </is>
      </c>
      <c r="C363" t="inlineStr">
        <is>
          <t>SCA</t>
        </is>
      </c>
      <c r="D363" t="inlineStr">
        <is>
          <t>SCLS</t>
        </is>
      </c>
      <c r="E363" s="5" t="n">
        <v>35.77</v>
      </c>
      <c r="F363" s="4" t="n">
        <v>1147.2</v>
      </c>
      <c r="G363" s="5">
        <f>E363*F363</f>
        <v/>
      </c>
      <c r="H363" s="5">
        <f>G363*0.35</f>
        <v/>
      </c>
      <c r="I363" s="5">
        <f>(G363+H363)*0.05</f>
        <v/>
      </c>
      <c r="J363" s="5">
        <f>(G363+H363+I363)*0.03</f>
        <v/>
      </c>
      <c r="K363" s="5">
        <f>G363+H363+I363+J363</f>
        <v/>
      </c>
      <c r="L363" s="5">
        <f>K363*0.08</f>
        <v/>
      </c>
      <c r="M363" s="5">
        <f>K363+L363</f>
        <v/>
      </c>
      <c r="N363" s="4" t="n">
        <v>229.44</v>
      </c>
      <c r="O363" s="5">
        <f>(E363*N363)*1.35*1.05*1.03*1.08</f>
        <v/>
      </c>
      <c r="P363" s="4" t="n">
        <v>229.44</v>
      </c>
      <c r="Q363" s="5">
        <f>(E363*P363)*1.35*1.05*1.03*1.08</f>
        <v/>
      </c>
      <c r="R363" s="4" t="n">
        <v>229.44</v>
      </c>
      <c r="S363" s="5">
        <f>(E363*R363)*1.35*1.05*1.03*1.08</f>
        <v/>
      </c>
      <c r="T363" s="4" t="n">
        <v>229.44</v>
      </c>
      <c r="U363" s="5">
        <f>(E363*T363)*1.35*1.05*1.03*1.08</f>
        <v/>
      </c>
      <c r="V363" s="4">
        <f>F363+N363+P363+R363+T363</f>
        <v/>
      </c>
      <c r="W363" s="5">
        <f>M363+O363+Q363+S363+U363</f>
        <v/>
      </c>
    </row>
    <row r="364">
      <c r="A364" t="inlineStr">
        <is>
          <t>PNW</t>
        </is>
      </c>
      <c r="B364" t="inlineStr">
        <is>
          <t>Electronics Technician III</t>
        </is>
      </c>
      <c r="C364" t="inlineStr">
        <is>
          <t>SCA</t>
        </is>
      </c>
      <c r="D364" t="inlineStr">
        <is>
          <t>SCLS</t>
        </is>
      </c>
      <c r="E364" s="5" t="n">
        <v>39.28</v>
      </c>
      <c r="F364" s="4" t="n">
        <v>1338.4</v>
      </c>
      <c r="G364" s="5">
        <f>E364*F364</f>
        <v/>
      </c>
      <c r="H364" s="5">
        <f>G364*0.35</f>
        <v/>
      </c>
      <c r="I364" s="5">
        <f>(G364+H364)*0.05</f>
        <v/>
      </c>
      <c r="J364" s="5">
        <f>(G364+H364+I364)*0.03</f>
        <v/>
      </c>
      <c r="K364" s="5">
        <f>G364+H364+I364+J364</f>
        <v/>
      </c>
      <c r="L364" s="5">
        <f>K364*0.08</f>
        <v/>
      </c>
      <c r="M364" s="5">
        <f>K364+L364</f>
        <v/>
      </c>
      <c r="N364" s="4" t="n">
        <v>267.68</v>
      </c>
      <c r="O364" s="5">
        <f>(E364*N364)*1.35*1.05*1.03*1.08</f>
        <v/>
      </c>
      <c r="P364" s="4" t="n">
        <v>267.68</v>
      </c>
      <c r="Q364" s="5">
        <f>(E364*P364)*1.35*1.05*1.03*1.08</f>
        <v/>
      </c>
      <c r="R364" s="4" t="n">
        <v>267.68</v>
      </c>
      <c r="S364" s="5">
        <f>(E364*R364)*1.35*1.05*1.03*1.08</f>
        <v/>
      </c>
      <c r="T364" s="4" t="n">
        <v>267.68</v>
      </c>
      <c r="U364" s="5">
        <f>(E364*T364)*1.35*1.05*1.03*1.08</f>
        <v/>
      </c>
      <c r="V364" s="4">
        <f>F364+N364+P364+R364+T364</f>
        <v/>
      </c>
      <c r="W364" s="5">
        <f>M364+O364+Q364+S364+U364</f>
        <v/>
      </c>
    </row>
    <row r="365">
      <c r="A365" t="inlineStr">
        <is>
          <t>PNW</t>
        </is>
      </c>
      <c r="B365" t="inlineStr">
        <is>
          <t>Engineering Technician V</t>
        </is>
      </c>
      <c r="C365" t="inlineStr">
        <is>
          <t>SCA</t>
        </is>
      </c>
      <c r="D365" t="inlineStr">
        <is>
          <t>SCLS</t>
        </is>
      </c>
      <c r="E365" s="5" t="n">
        <v>38.19</v>
      </c>
      <c r="F365" s="4" t="n">
        <v>2103.2</v>
      </c>
      <c r="G365" s="5">
        <f>E365*F365</f>
        <v/>
      </c>
      <c r="H365" s="5">
        <f>G365*0.35</f>
        <v/>
      </c>
      <c r="I365" s="5">
        <f>(G365+H365)*0.05</f>
        <v/>
      </c>
      <c r="J365" s="5">
        <f>(G365+H365+I365)*0.03</f>
        <v/>
      </c>
      <c r="K365" s="5">
        <f>G365+H365+I365+J365</f>
        <v/>
      </c>
      <c r="L365" s="5">
        <f>K365*0.08</f>
        <v/>
      </c>
      <c r="M365" s="5">
        <f>K365+L365</f>
        <v/>
      </c>
      <c r="N365" s="4" t="n">
        <v>420.64</v>
      </c>
      <c r="O365" s="5">
        <f>(E365*N365)*1.35*1.05*1.03*1.08</f>
        <v/>
      </c>
      <c r="P365" s="4" t="n">
        <v>420.64</v>
      </c>
      <c r="Q365" s="5">
        <f>(E365*P365)*1.35*1.05*1.03*1.08</f>
        <v/>
      </c>
      <c r="R365" s="4" t="n">
        <v>420.64</v>
      </c>
      <c r="S365" s="5">
        <f>(E365*R365)*1.35*1.05*1.03*1.08</f>
        <v/>
      </c>
      <c r="T365" s="4" t="n">
        <v>420.64</v>
      </c>
      <c r="U365" s="5">
        <f>(E365*T365)*1.35*1.05*1.03*1.08</f>
        <v/>
      </c>
      <c r="V365" s="4">
        <f>F365+N365+P365+R365+T365</f>
        <v/>
      </c>
      <c r="W365" s="5">
        <f>M365+O365+Q365+S365+U365</f>
        <v/>
      </c>
    </row>
    <row r="366">
      <c r="A366" t="inlineStr">
        <is>
          <t>PNW</t>
        </is>
      </c>
      <c r="B366" t="inlineStr">
        <is>
          <t>Supply Technician</t>
        </is>
      </c>
      <c r="C366" t="inlineStr">
        <is>
          <t>SCA</t>
        </is>
      </c>
      <c r="D366" t="inlineStr">
        <is>
          <t>SCLS</t>
        </is>
      </c>
      <c r="E366" s="5" t="n">
        <v>34</v>
      </c>
      <c r="F366" s="4" t="n">
        <v>191.2</v>
      </c>
      <c r="G366" s="5">
        <f>E366*F366</f>
        <v/>
      </c>
      <c r="H366" s="5">
        <f>G366*0.35</f>
        <v/>
      </c>
      <c r="I366" s="5">
        <f>(G366+H366)*0.05</f>
        <v/>
      </c>
      <c r="J366" s="5">
        <f>(G366+H366+I366)*0.03</f>
        <v/>
      </c>
      <c r="K366" s="5">
        <f>G366+H366+I366+J366</f>
        <v/>
      </c>
      <c r="L366" s="5">
        <f>K366*0.08</f>
        <v/>
      </c>
      <c r="M366" s="5">
        <f>K366+L366</f>
        <v/>
      </c>
      <c r="N366" s="4" t="n">
        <v>38.24</v>
      </c>
      <c r="O366" s="5">
        <f>(E366*N366)*1.35*1.05*1.03*1.08</f>
        <v/>
      </c>
      <c r="P366" s="4" t="n">
        <v>38.24</v>
      </c>
      <c r="Q366" s="5">
        <f>(E366*P366)*1.35*1.05*1.03*1.08</f>
        <v/>
      </c>
      <c r="R366" s="4" t="n">
        <v>38.24</v>
      </c>
      <c r="S366" s="5">
        <f>(E366*R366)*1.35*1.05*1.03*1.08</f>
        <v/>
      </c>
      <c r="T366" s="4" t="n">
        <v>38.24</v>
      </c>
      <c r="U366" s="5">
        <f>(E366*T366)*1.35*1.05*1.03*1.08</f>
        <v/>
      </c>
      <c r="V366" s="4">
        <f>F366+N366+P366+R366+T366</f>
        <v/>
      </c>
      <c r="W366" s="5">
        <f>M366+O366+Q366+S366+U366</f>
        <v/>
      </c>
    </row>
    <row r="367">
      <c r="A367" t="inlineStr">
        <is>
          <t>PNW</t>
        </is>
      </c>
      <c r="B367" t="inlineStr">
        <is>
          <t>Security Coordinator</t>
        </is>
      </c>
      <c r="C367" t="inlineStr">
        <is>
          <t>Non-SCA</t>
        </is>
      </c>
      <c r="D367" t="inlineStr">
        <is>
          <t>Exempt</t>
        </is>
      </c>
      <c r="E367" s="5" t="n">
        <v>70</v>
      </c>
      <c r="F367" s="4" t="n">
        <v>382.4</v>
      </c>
      <c r="G367" s="5">
        <f>E367*F367</f>
        <v/>
      </c>
      <c r="H367" s="5">
        <f>G367*0.35</f>
        <v/>
      </c>
      <c r="I367" s="5">
        <f>(G367+H367)*0.05</f>
        <v/>
      </c>
      <c r="J367" s="5">
        <f>(G367+H367+I367)*0.03</f>
        <v/>
      </c>
      <c r="K367" s="5">
        <f>G367+H367+I367+J367</f>
        <v/>
      </c>
      <c r="L367" s="5">
        <f>K367*0.08</f>
        <v/>
      </c>
      <c r="M367" s="5">
        <f>K367+L367</f>
        <v/>
      </c>
      <c r="N367" s="4" t="n">
        <v>76.48</v>
      </c>
      <c r="O367" s="5">
        <f>(E367*N367)*1.35*1.05*1.03*1.08</f>
        <v/>
      </c>
      <c r="P367" s="4" t="n">
        <v>76.48</v>
      </c>
      <c r="Q367" s="5">
        <f>(E367*P367)*1.35*1.05*1.03*1.08</f>
        <v/>
      </c>
      <c r="R367" s="4" t="n">
        <v>76.48</v>
      </c>
      <c r="S367" s="5">
        <f>(E367*R367)*1.35*1.05*1.03*1.08</f>
        <v/>
      </c>
      <c r="T367" s="4" t="n">
        <v>76.48</v>
      </c>
      <c r="U367" s="5">
        <f>(E367*T367)*1.35*1.05*1.03*1.08</f>
        <v/>
      </c>
      <c r="V367" s="4">
        <f>F367+N367+P367+R367+T367</f>
        <v/>
      </c>
      <c r="W367" s="5">
        <f>M367+O367+Q367+S367+U367</f>
        <v/>
      </c>
    </row>
    <row r="368">
      <c r="A368" t="inlineStr">
        <is>
          <t>PNW</t>
        </is>
      </c>
      <c r="B368" t="inlineStr">
        <is>
          <t>Quality Assurance/Safety Evaluator</t>
        </is>
      </c>
      <c r="C368" t="inlineStr">
        <is>
          <t>Non-SCA</t>
        </is>
      </c>
      <c r="D368" t="inlineStr">
        <is>
          <t>Exempt</t>
        </is>
      </c>
      <c r="E368" s="5" t="n">
        <v>75</v>
      </c>
      <c r="F368" s="4" t="n">
        <v>191.2</v>
      </c>
      <c r="G368" s="5">
        <f>E368*F368</f>
        <v/>
      </c>
      <c r="H368" s="5">
        <f>G368*0.35</f>
        <v/>
      </c>
      <c r="I368" s="5">
        <f>(G368+H368)*0.05</f>
        <v/>
      </c>
      <c r="J368" s="5">
        <f>(G368+H368+I368)*0.03</f>
        <v/>
      </c>
      <c r="K368" s="5">
        <f>G368+H368+I368+J368</f>
        <v/>
      </c>
      <c r="L368" s="5">
        <f>K368*0.08</f>
        <v/>
      </c>
      <c r="M368" s="5">
        <f>K368+L368</f>
        <v/>
      </c>
      <c r="N368" s="4" t="n">
        <v>38.24</v>
      </c>
      <c r="O368" s="5">
        <f>(E368*N368)*1.35*1.05*1.03*1.08</f>
        <v/>
      </c>
      <c r="P368" s="4" t="n">
        <v>38.24</v>
      </c>
      <c r="Q368" s="5">
        <f>(E368*P368)*1.35*1.05*1.03*1.08</f>
        <v/>
      </c>
      <c r="R368" s="4" t="n">
        <v>38.24</v>
      </c>
      <c r="S368" s="5">
        <f>(E368*R368)*1.35*1.05*1.03*1.08</f>
        <v/>
      </c>
      <c r="T368" s="4" t="n">
        <v>38.24</v>
      </c>
      <c r="U368" s="5">
        <f>(E368*T368)*1.35*1.05*1.03*1.08</f>
        <v/>
      </c>
      <c r="V368" s="4">
        <f>F368+N368+P368+R368+T368</f>
        <v/>
      </c>
      <c r="W368" s="5">
        <f>M368+O368+Q368+S368+U368</f>
        <v/>
      </c>
    </row>
    <row r="369">
      <c r="A369" t="inlineStr">
        <is>
          <t>Beaufort</t>
        </is>
      </c>
      <c r="B369" t="inlineStr">
        <is>
          <t>Site Manager</t>
        </is>
      </c>
      <c r="C369" t="inlineStr">
        <is>
          <t>Non-SCA</t>
        </is>
      </c>
      <c r="D369" t="inlineStr">
        <is>
          <t>Exempt</t>
        </is>
      </c>
      <c r="E369" s="5" t="n">
        <v>95</v>
      </c>
      <c r="F369" s="4" t="n">
        <v>191.2</v>
      </c>
      <c r="G369" s="5">
        <f>E369*F369</f>
        <v/>
      </c>
      <c r="H369" s="5">
        <f>G369*0.35</f>
        <v/>
      </c>
      <c r="I369" s="5">
        <f>(G369+H369)*0.05</f>
        <v/>
      </c>
      <c r="J369" s="5">
        <f>(G369+H369+I369)*0.03</f>
        <v/>
      </c>
      <c r="K369" s="5">
        <f>G369+H369+I369+J369</f>
        <v/>
      </c>
      <c r="L369" s="5">
        <f>K369*0.08</f>
        <v/>
      </c>
      <c r="M369" s="5">
        <f>K369+L369</f>
        <v/>
      </c>
      <c r="N369" s="4" t="n">
        <v>38.24</v>
      </c>
      <c r="O369" s="5">
        <f>(E369*N369)*1.35*1.05*1.03*1.08</f>
        <v/>
      </c>
      <c r="P369" s="4" t="n">
        <v>38.24</v>
      </c>
      <c r="Q369" s="5">
        <f>(E369*P369)*1.35*1.05*1.03*1.08</f>
        <v/>
      </c>
      <c r="R369" s="4" t="n">
        <v>38.24</v>
      </c>
      <c r="S369" s="5">
        <f>(E369*R369)*1.35*1.05*1.03*1.08</f>
        <v/>
      </c>
      <c r="T369" s="4" t="n">
        <v>38.24</v>
      </c>
      <c r="U369" s="5">
        <f>(E369*T369)*1.35*1.05*1.03*1.08</f>
        <v/>
      </c>
      <c r="V369" s="4">
        <f>F369+N369+P369+R369+T369</f>
        <v/>
      </c>
      <c r="W369" s="5">
        <f>M369+O369+Q369+S369+U369</f>
        <v/>
      </c>
    </row>
    <row r="370">
      <c r="A370" t="inlineStr">
        <is>
          <t>Beaufort</t>
        </is>
      </c>
      <c r="B370" t="inlineStr">
        <is>
          <t>Mission Coordinator</t>
        </is>
      </c>
      <c r="C370" t="inlineStr">
        <is>
          <t>Non-SCA</t>
        </is>
      </c>
      <c r="D370" t="inlineStr">
        <is>
          <t>Exempt</t>
        </is>
      </c>
      <c r="E370" s="5" t="n">
        <v>85</v>
      </c>
      <c r="F370" s="4" t="n">
        <v>382.4</v>
      </c>
      <c r="G370" s="5">
        <f>E370*F370</f>
        <v/>
      </c>
      <c r="H370" s="5">
        <f>G370*0.35</f>
        <v/>
      </c>
      <c r="I370" s="5">
        <f>(G370+H370)*0.05</f>
        <v/>
      </c>
      <c r="J370" s="5">
        <f>(G370+H370+I370)*0.03</f>
        <v/>
      </c>
      <c r="K370" s="5">
        <f>G370+H370+I370+J370</f>
        <v/>
      </c>
      <c r="L370" s="5">
        <f>K370*0.08</f>
        <v/>
      </c>
      <c r="M370" s="5">
        <f>K370+L370</f>
        <v/>
      </c>
      <c r="N370" s="4" t="n">
        <v>76.48</v>
      </c>
      <c r="O370" s="5">
        <f>(E370*N370)*1.35*1.05*1.03*1.08</f>
        <v/>
      </c>
      <c r="P370" s="4" t="n">
        <v>76.48</v>
      </c>
      <c r="Q370" s="5">
        <f>(E370*P370)*1.35*1.05*1.03*1.08</f>
        <v/>
      </c>
      <c r="R370" s="4" t="n">
        <v>76.48</v>
      </c>
      <c r="S370" s="5">
        <f>(E370*R370)*1.35*1.05*1.03*1.08</f>
        <v/>
      </c>
      <c r="T370" s="4" t="n">
        <v>76.48</v>
      </c>
      <c r="U370" s="5">
        <f>(E370*T370)*1.35*1.05*1.03*1.08</f>
        <v/>
      </c>
      <c r="V370" s="4">
        <f>F370+N370+P370+R370+T370</f>
        <v/>
      </c>
      <c r="W370" s="5">
        <f>M370+O370+Q370+S370+U370</f>
        <v/>
      </c>
    </row>
    <row r="371">
      <c r="A371" t="inlineStr">
        <is>
          <t>Beaufort</t>
        </is>
      </c>
      <c r="B371" t="inlineStr">
        <is>
          <t>Mission Coordinator, Senior</t>
        </is>
      </c>
      <c r="C371" t="inlineStr">
        <is>
          <t>Non-SCA</t>
        </is>
      </c>
      <c r="D371" t="inlineStr">
        <is>
          <t>Exempt</t>
        </is>
      </c>
      <c r="E371" s="5" t="n">
        <v>95</v>
      </c>
      <c r="F371" s="4" t="n">
        <v>191.2</v>
      </c>
      <c r="G371" s="5">
        <f>E371*F371</f>
        <v/>
      </c>
      <c r="H371" s="5">
        <f>G371*0.35</f>
        <v/>
      </c>
      <c r="I371" s="5">
        <f>(G371+H371)*0.05</f>
        <v/>
      </c>
      <c r="J371" s="5">
        <f>(G371+H371+I371)*0.03</f>
        <v/>
      </c>
      <c r="K371" s="5">
        <f>G371+H371+I371+J371</f>
        <v/>
      </c>
      <c r="L371" s="5">
        <f>K371*0.08</f>
        <v/>
      </c>
      <c r="M371" s="5">
        <f>K371+L371</f>
        <v/>
      </c>
      <c r="N371" s="4" t="n">
        <v>38.24</v>
      </c>
      <c r="O371" s="5">
        <f>(E371*N371)*1.35*1.05*1.03*1.08</f>
        <v/>
      </c>
      <c r="P371" s="4" t="n">
        <v>38.24</v>
      </c>
      <c r="Q371" s="5">
        <f>(E371*P371)*1.35*1.05*1.03*1.08</f>
        <v/>
      </c>
      <c r="R371" s="4" t="n">
        <v>38.24</v>
      </c>
      <c r="S371" s="5">
        <f>(E371*R371)*1.35*1.05*1.03*1.08</f>
        <v/>
      </c>
      <c r="T371" s="4" t="n">
        <v>38.24</v>
      </c>
      <c r="U371" s="5">
        <f>(E371*T371)*1.35*1.05*1.03*1.08</f>
        <v/>
      </c>
      <c r="V371" s="4">
        <f>F371+N371+P371+R371+T371</f>
        <v/>
      </c>
      <c r="W371" s="5">
        <f>M371+O371+Q371+S371+U371</f>
        <v/>
      </c>
    </row>
    <row r="372">
      <c r="A372" t="inlineStr">
        <is>
          <t>Beaufort</t>
        </is>
      </c>
      <c r="B372" t="inlineStr">
        <is>
          <t>Computer Operator V</t>
        </is>
      </c>
      <c r="C372" t="inlineStr">
        <is>
          <t>SCA</t>
        </is>
      </c>
      <c r="D372" t="inlineStr">
        <is>
          <t>SCLS</t>
        </is>
      </c>
      <c r="E372" s="5" t="n">
        <v>31.62</v>
      </c>
      <c r="F372" s="4" t="n">
        <v>764.8000000000001</v>
      </c>
      <c r="G372" s="5">
        <f>E372*F372</f>
        <v/>
      </c>
      <c r="H372" s="5">
        <f>G372*0.35</f>
        <v/>
      </c>
      <c r="I372" s="5">
        <f>(G372+H372)*0.05</f>
        <v/>
      </c>
      <c r="J372" s="5">
        <f>(G372+H372+I372)*0.03</f>
        <v/>
      </c>
      <c r="K372" s="5">
        <f>G372+H372+I372+J372</f>
        <v/>
      </c>
      <c r="L372" s="5">
        <f>K372*0.08</f>
        <v/>
      </c>
      <c r="M372" s="5">
        <f>K372+L372</f>
        <v/>
      </c>
      <c r="N372" s="4" t="n">
        <v>152.96</v>
      </c>
      <c r="O372" s="5">
        <f>(E372*N372)*1.35*1.05*1.03*1.08</f>
        <v/>
      </c>
      <c r="P372" s="4" t="n">
        <v>152.96</v>
      </c>
      <c r="Q372" s="5">
        <f>(E372*P372)*1.35*1.05*1.03*1.08</f>
        <v/>
      </c>
      <c r="R372" s="4" t="n">
        <v>152.96</v>
      </c>
      <c r="S372" s="5">
        <f>(E372*R372)*1.35*1.05*1.03*1.08</f>
        <v/>
      </c>
      <c r="T372" s="4" t="n">
        <v>152.96</v>
      </c>
      <c r="U372" s="5">
        <f>(E372*T372)*1.35*1.05*1.03*1.08</f>
        <v/>
      </c>
      <c r="V372" s="4">
        <f>F372+N372+P372+R372+T372</f>
        <v/>
      </c>
      <c r="W372" s="5">
        <f>M372+O372+Q372+S372+U372</f>
        <v/>
      </c>
    </row>
    <row r="373">
      <c r="A373" t="inlineStr">
        <is>
          <t>Beaufort</t>
        </is>
      </c>
      <c r="B373" t="inlineStr">
        <is>
          <t>Electronics Technician III</t>
        </is>
      </c>
      <c r="C373" t="inlineStr">
        <is>
          <t>SCA</t>
        </is>
      </c>
      <c r="D373" t="inlineStr">
        <is>
          <t>SCLS</t>
        </is>
      </c>
      <c r="E373" s="5" t="n">
        <v>28.42</v>
      </c>
      <c r="F373" s="4" t="n">
        <v>1147.2</v>
      </c>
      <c r="G373" s="5">
        <f>E373*F373</f>
        <v/>
      </c>
      <c r="H373" s="5">
        <f>G373*0.35</f>
        <v/>
      </c>
      <c r="I373" s="5">
        <f>(G373+H373)*0.05</f>
        <v/>
      </c>
      <c r="J373" s="5">
        <f>(G373+H373+I373)*0.03</f>
        <v/>
      </c>
      <c r="K373" s="5">
        <f>G373+H373+I373+J373</f>
        <v/>
      </c>
      <c r="L373" s="5">
        <f>K373*0.08</f>
        <v/>
      </c>
      <c r="M373" s="5">
        <f>K373+L373</f>
        <v/>
      </c>
      <c r="N373" s="4" t="n">
        <v>229.44</v>
      </c>
      <c r="O373" s="5">
        <f>(E373*N373)*1.35*1.05*1.03*1.08</f>
        <v/>
      </c>
      <c r="P373" s="4" t="n">
        <v>229.44</v>
      </c>
      <c r="Q373" s="5">
        <f>(E373*P373)*1.35*1.05*1.03*1.08</f>
        <v/>
      </c>
      <c r="R373" s="4" t="n">
        <v>229.44</v>
      </c>
      <c r="S373" s="5">
        <f>(E373*R373)*1.35*1.05*1.03*1.08</f>
        <v/>
      </c>
      <c r="T373" s="4" t="n">
        <v>229.44</v>
      </c>
      <c r="U373" s="5">
        <f>(E373*T373)*1.35*1.05*1.03*1.08</f>
        <v/>
      </c>
      <c r="V373" s="4">
        <f>F373+N373+P373+R373+T373</f>
        <v/>
      </c>
      <c r="W373" s="5">
        <f>M373+O373+Q373+S373+U373</f>
        <v/>
      </c>
    </row>
    <row r="374">
      <c r="A374" t="inlineStr">
        <is>
          <t>Beaufort</t>
        </is>
      </c>
      <c r="B374" t="inlineStr">
        <is>
          <t>Engineering Technician V</t>
        </is>
      </c>
      <c r="C374" t="inlineStr">
        <is>
          <t>SCA</t>
        </is>
      </c>
      <c r="D374" t="inlineStr">
        <is>
          <t>SCLS</t>
        </is>
      </c>
      <c r="E374" s="5" t="n">
        <v>31.86</v>
      </c>
      <c r="F374" s="4" t="n">
        <v>191.2</v>
      </c>
      <c r="G374" s="5">
        <f>E374*F374</f>
        <v/>
      </c>
      <c r="H374" s="5">
        <f>G374*0.35</f>
        <v/>
      </c>
      <c r="I374" s="5">
        <f>(G374+H374)*0.05</f>
        <v/>
      </c>
      <c r="J374" s="5">
        <f>(G374+H374+I374)*0.03</f>
        <v/>
      </c>
      <c r="K374" s="5">
        <f>G374+H374+I374+J374</f>
        <v/>
      </c>
      <c r="L374" s="5">
        <f>K374*0.08</f>
        <v/>
      </c>
      <c r="M374" s="5">
        <f>K374+L374</f>
        <v/>
      </c>
      <c r="N374" s="4" t="n">
        <v>38.24</v>
      </c>
      <c r="O374" s="5">
        <f>(E374*N374)*1.35*1.05*1.03*1.08</f>
        <v/>
      </c>
      <c r="P374" s="4" t="n">
        <v>38.24</v>
      </c>
      <c r="Q374" s="5">
        <f>(E374*P374)*1.35*1.05*1.03*1.08</f>
        <v/>
      </c>
      <c r="R374" s="4" t="n">
        <v>38.24</v>
      </c>
      <c r="S374" s="5">
        <f>(E374*R374)*1.35*1.05*1.03*1.08</f>
        <v/>
      </c>
      <c r="T374" s="4" t="n">
        <v>38.24</v>
      </c>
      <c r="U374" s="5">
        <f>(E374*T374)*1.35*1.05*1.03*1.08</f>
        <v/>
      </c>
      <c r="V374" s="4">
        <f>F374+N374+P374+R374+T374</f>
        <v/>
      </c>
      <c r="W374" s="5">
        <f>M374+O374+Q374+S374+U374</f>
        <v/>
      </c>
    </row>
    <row r="375">
      <c r="A375" t="inlineStr">
        <is>
          <t>Beaufort</t>
        </is>
      </c>
      <c r="B375" t="inlineStr">
        <is>
          <t>Supply Technician</t>
        </is>
      </c>
      <c r="C375" t="inlineStr">
        <is>
          <t>SCA</t>
        </is>
      </c>
      <c r="D375" t="inlineStr">
        <is>
          <t>SCLS</t>
        </is>
      </c>
      <c r="E375" s="5" t="n">
        <v>29.44</v>
      </c>
      <c r="F375" s="4" t="n">
        <v>191.2</v>
      </c>
      <c r="G375" s="5">
        <f>E375*F375</f>
        <v/>
      </c>
      <c r="H375" s="5">
        <f>G375*0.35</f>
        <v/>
      </c>
      <c r="I375" s="5">
        <f>(G375+H375)*0.05</f>
        <v/>
      </c>
      <c r="J375" s="5">
        <f>(G375+H375+I375)*0.03</f>
        <v/>
      </c>
      <c r="K375" s="5">
        <f>G375+H375+I375+J375</f>
        <v/>
      </c>
      <c r="L375" s="5">
        <f>K375*0.08</f>
        <v/>
      </c>
      <c r="M375" s="5">
        <f>K375+L375</f>
        <v/>
      </c>
      <c r="N375" s="4" t="n">
        <v>38.24</v>
      </c>
      <c r="O375" s="5">
        <f>(E375*N375)*1.35*1.05*1.03*1.08</f>
        <v/>
      </c>
      <c r="P375" s="4" t="n">
        <v>38.24</v>
      </c>
      <c r="Q375" s="5">
        <f>(E375*P375)*1.35*1.05*1.03*1.08</f>
        <v/>
      </c>
      <c r="R375" s="4" t="n">
        <v>38.24</v>
      </c>
      <c r="S375" s="5">
        <f>(E375*R375)*1.35*1.05*1.03*1.08</f>
        <v/>
      </c>
      <c r="T375" s="4" t="n">
        <v>38.24</v>
      </c>
      <c r="U375" s="5">
        <f>(E375*T375)*1.35*1.05*1.03*1.08</f>
        <v/>
      </c>
      <c r="V375" s="4">
        <f>F375+N375+P375+R375+T375</f>
        <v/>
      </c>
      <c r="W375" s="5">
        <f>M375+O375+Q375+S375+U375</f>
        <v/>
      </c>
    </row>
    <row r="376">
      <c r="A376" t="inlineStr">
        <is>
          <t>Beaufort</t>
        </is>
      </c>
      <c r="B376" t="inlineStr">
        <is>
          <t>Security Coordinator</t>
        </is>
      </c>
      <c r="C376" t="inlineStr">
        <is>
          <t>Non-SCA</t>
        </is>
      </c>
      <c r="D376" t="inlineStr">
        <is>
          <t>Exempt</t>
        </is>
      </c>
      <c r="E376" s="5" t="n">
        <v>70</v>
      </c>
      <c r="F376" s="4" t="n">
        <v>191.2</v>
      </c>
      <c r="G376" s="5">
        <f>E376*F376</f>
        <v/>
      </c>
      <c r="H376" s="5">
        <f>G376*0.35</f>
        <v/>
      </c>
      <c r="I376" s="5">
        <f>(G376+H376)*0.05</f>
        <v/>
      </c>
      <c r="J376" s="5">
        <f>(G376+H376+I376)*0.03</f>
        <v/>
      </c>
      <c r="K376" s="5">
        <f>G376+H376+I376+J376</f>
        <v/>
      </c>
      <c r="L376" s="5">
        <f>K376*0.08</f>
        <v/>
      </c>
      <c r="M376" s="5">
        <f>K376+L376</f>
        <v/>
      </c>
      <c r="N376" s="4" t="n">
        <v>38.24</v>
      </c>
      <c r="O376" s="5">
        <f>(E376*N376)*1.35*1.05*1.03*1.08</f>
        <v/>
      </c>
      <c r="P376" s="4" t="n">
        <v>38.24</v>
      </c>
      <c r="Q376" s="5">
        <f>(E376*P376)*1.35*1.05*1.03*1.08</f>
        <v/>
      </c>
      <c r="R376" s="4" t="n">
        <v>38.24</v>
      </c>
      <c r="S376" s="5">
        <f>(E376*R376)*1.35*1.05*1.03*1.08</f>
        <v/>
      </c>
      <c r="T376" s="4" t="n">
        <v>38.24</v>
      </c>
      <c r="U376" s="5">
        <f>(E376*T376)*1.35*1.05*1.03*1.08</f>
        <v/>
      </c>
      <c r="V376" s="4">
        <f>F376+N376+P376+R376+T376</f>
        <v/>
      </c>
      <c r="W376" s="5">
        <f>M376+O376+Q376+S376+U376</f>
        <v/>
      </c>
    </row>
    <row r="377">
      <c r="A377" t="inlineStr">
        <is>
          <t>Beaufort</t>
        </is>
      </c>
      <c r="B377" t="inlineStr">
        <is>
          <t>Quality Assurance/Safety Evaluator</t>
        </is>
      </c>
      <c r="C377" t="inlineStr">
        <is>
          <t>Non-SCA</t>
        </is>
      </c>
      <c r="D377" t="inlineStr">
        <is>
          <t>Exempt</t>
        </is>
      </c>
      <c r="E377" s="5" t="n">
        <v>75</v>
      </c>
      <c r="F377" s="4" t="n">
        <v>382.4</v>
      </c>
      <c r="G377" s="5">
        <f>E377*F377</f>
        <v/>
      </c>
      <c r="H377" s="5">
        <f>G377*0.35</f>
        <v/>
      </c>
      <c r="I377" s="5">
        <f>(G377+H377)*0.05</f>
        <v/>
      </c>
      <c r="J377" s="5">
        <f>(G377+H377+I377)*0.03</f>
        <v/>
      </c>
      <c r="K377" s="5">
        <f>G377+H377+I377+J377</f>
        <v/>
      </c>
      <c r="L377" s="5">
        <f>K377*0.08</f>
        <v/>
      </c>
      <c r="M377" s="5">
        <f>K377+L377</f>
        <v/>
      </c>
      <c r="N377" s="4" t="n">
        <v>76.48</v>
      </c>
      <c r="O377" s="5">
        <f>(E377*N377)*1.35*1.05*1.03*1.08</f>
        <v/>
      </c>
      <c r="P377" s="4" t="n">
        <v>76.48</v>
      </c>
      <c r="Q377" s="5">
        <f>(E377*P377)*1.35*1.05*1.03*1.08</f>
        <v/>
      </c>
      <c r="R377" s="4" t="n">
        <v>76.48</v>
      </c>
      <c r="S377" s="5">
        <f>(E377*R377)*1.35*1.05*1.03*1.08</f>
        <v/>
      </c>
      <c r="T377" s="4" t="n">
        <v>76.48</v>
      </c>
      <c r="U377" s="5">
        <f>(E377*T377)*1.35*1.05*1.03*1.08</f>
        <v/>
      </c>
      <c r="V377" s="4">
        <f>F377+N377+P377+R377+T377</f>
        <v/>
      </c>
      <c r="W377" s="5">
        <f>M377+O377+Q377+S377+U377</f>
        <v/>
      </c>
    </row>
    <row r="378">
      <c r="A378" t="inlineStr">
        <is>
          <t>CP</t>
        </is>
      </c>
      <c r="B378" t="inlineStr">
        <is>
          <t>Site Manager</t>
        </is>
      </c>
      <c r="C378" t="inlineStr">
        <is>
          <t>Non-SCA</t>
        </is>
      </c>
      <c r="D378" t="inlineStr">
        <is>
          <t>Exempt</t>
        </is>
      </c>
      <c r="E378" s="5" t="n">
        <v>95</v>
      </c>
      <c r="F378" s="4" t="n">
        <v>191.2</v>
      </c>
      <c r="G378" s="5">
        <f>E378*F378</f>
        <v/>
      </c>
      <c r="H378" s="5">
        <f>G378*0.35</f>
        <v/>
      </c>
      <c r="I378" s="5">
        <f>(G378+H378)*0.05</f>
        <v/>
      </c>
      <c r="J378" s="5">
        <f>(G378+H378+I378)*0.03</f>
        <v/>
      </c>
      <c r="K378" s="5">
        <f>G378+H378+I378+J378</f>
        <v/>
      </c>
      <c r="L378" s="5">
        <f>K378*0.08</f>
        <v/>
      </c>
      <c r="M378" s="5">
        <f>K378+L378</f>
        <v/>
      </c>
      <c r="N378" s="4" t="n">
        <v>38.24</v>
      </c>
      <c r="O378" s="5">
        <f>(E378*N378)*1.35*1.05*1.03*1.08</f>
        <v/>
      </c>
      <c r="P378" s="4" t="n">
        <v>38.24</v>
      </c>
      <c r="Q378" s="5">
        <f>(E378*P378)*1.35*1.05*1.03*1.08</f>
        <v/>
      </c>
      <c r="R378" s="4" t="n">
        <v>38.24</v>
      </c>
      <c r="S378" s="5">
        <f>(E378*R378)*1.35*1.05*1.03*1.08</f>
        <v/>
      </c>
      <c r="T378" s="4" t="n">
        <v>38.24</v>
      </c>
      <c r="U378" s="5">
        <f>(E378*T378)*1.35*1.05*1.03*1.08</f>
        <v/>
      </c>
      <c r="V378" s="4">
        <f>F378+N378+P378+R378+T378</f>
        <v/>
      </c>
      <c r="W378" s="5">
        <f>M378+O378+Q378+S378+U378</f>
        <v/>
      </c>
    </row>
    <row r="379">
      <c r="A379" t="inlineStr">
        <is>
          <t>CP</t>
        </is>
      </c>
      <c r="B379" t="inlineStr">
        <is>
          <t>Mission Coordinator</t>
        </is>
      </c>
      <c r="C379" t="inlineStr">
        <is>
          <t>Non-SCA</t>
        </is>
      </c>
      <c r="D379" t="inlineStr">
        <is>
          <t>Exempt</t>
        </is>
      </c>
      <c r="E379" s="5" t="n">
        <v>85</v>
      </c>
      <c r="F379" s="4" t="n">
        <v>382.4</v>
      </c>
      <c r="G379" s="5">
        <f>E379*F379</f>
        <v/>
      </c>
      <c r="H379" s="5">
        <f>G379*0.35</f>
        <v/>
      </c>
      <c r="I379" s="5">
        <f>(G379+H379)*0.05</f>
        <v/>
      </c>
      <c r="J379" s="5">
        <f>(G379+H379+I379)*0.03</f>
        <v/>
      </c>
      <c r="K379" s="5">
        <f>G379+H379+I379+J379</f>
        <v/>
      </c>
      <c r="L379" s="5">
        <f>K379*0.08</f>
        <v/>
      </c>
      <c r="M379" s="5">
        <f>K379+L379</f>
        <v/>
      </c>
      <c r="N379" s="4" t="n">
        <v>76.48</v>
      </c>
      <c r="O379" s="5">
        <f>(E379*N379)*1.35*1.05*1.03*1.08</f>
        <v/>
      </c>
      <c r="P379" s="4" t="n">
        <v>76.48</v>
      </c>
      <c r="Q379" s="5">
        <f>(E379*P379)*1.35*1.05*1.03*1.08</f>
        <v/>
      </c>
      <c r="R379" s="4" t="n">
        <v>76.48</v>
      </c>
      <c r="S379" s="5">
        <f>(E379*R379)*1.35*1.05*1.03*1.08</f>
        <v/>
      </c>
      <c r="T379" s="4" t="n">
        <v>76.48</v>
      </c>
      <c r="U379" s="5">
        <f>(E379*T379)*1.35*1.05*1.03*1.08</f>
        <v/>
      </c>
      <c r="V379" s="4">
        <f>F379+N379+P379+R379+T379</f>
        <v/>
      </c>
      <c r="W379" s="5">
        <f>M379+O379+Q379+S379+U379</f>
        <v/>
      </c>
    </row>
    <row r="380">
      <c r="A380" t="inlineStr">
        <is>
          <t>CP</t>
        </is>
      </c>
      <c r="B380" t="inlineStr">
        <is>
          <t>Mission Coordinator, Senior</t>
        </is>
      </c>
      <c r="C380" t="inlineStr">
        <is>
          <t>Non-SCA</t>
        </is>
      </c>
      <c r="D380" t="inlineStr">
        <is>
          <t>Exempt</t>
        </is>
      </c>
      <c r="E380" s="5" t="n">
        <v>95</v>
      </c>
      <c r="F380" s="4" t="n">
        <v>191.2</v>
      </c>
      <c r="G380" s="5">
        <f>E380*F380</f>
        <v/>
      </c>
      <c r="H380" s="5">
        <f>G380*0.35</f>
        <v/>
      </c>
      <c r="I380" s="5">
        <f>(G380+H380)*0.05</f>
        <v/>
      </c>
      <c r="J380" s="5">
        <f>(G380+H380+I380)*0.03</f>
        <v/>
      </c>
      <c r="K380" s="5">
        <f>G380+H380+I380+J380</f>
        <v/>
      </c>
      <c r="L380" s="5">
        <f>K380*0.08</f>
        <v/>
      </c>
      <c r="M380" s="5">
        <f>K380+L380</f>
        <v/>
      </c>
      <c r="N380" s="4" t="n">
        <v>38.24</v>
      </c>
      <c r="O380" s="5">
        <f>(E380*N380)*1.35*1.05*1.03*1.08</f>
        <v/>
      </c>
      <c r="P380" s="4" t="n">
        <v>38.24</v>
      </c>
      <c r="Q380" s="5">
        <f>(E380*P380)*1.35*1.05*1.03*1.08</f>
        <v/>
      </c>
      <c r="R380" s="4" t="n">
        <v>38.24</v>
      </c>
      <c r="S380" s="5">
        <f>(E380*R380)*1.35*1.05*1.03*1.08</f>
        <v/>
      </c>
      <c r="T380" s="4" t="n">
        <v>38.24</v>
      </c>
      <c r="U380" s="5">
        <f>(E380*T380)*1.35*1.05*1.03*1.08</f>
        <v/>
      </c>
      <c r="V380" s="4">
        <f>F380+N380+P380+R380+T380</f>
        <v/>
      </c>
      <c r="W380" s="5">
        <f>M380+O380+Q380+S380+U380</f>
        <v/>
      </c>
    </row>
    <row r="381">
      <c r="A381" t="inlineStr">
        <is>
          <t>CP</t>
        </is>
      </c>
      <c r="B381" t="inlineStr">
        <is>
          <t>Computer Operator IV</t>
        </is>
      </c>
      <c r="C381" t="inlineStr">
        <is>
          <t>SCA</t>
        </is>
      </c>
      <c r="D381" t="inlineStr">
        <is>
          <t>SCLS</t>
        </is>
      </c>
      <c r="E381" s="5" t="n">
        <v>33.6</v>
      </c>
      <c r="F381" s="4" t="n">
        <v>191.2</v>
      </c>
      <c r="G381" s="5">
        <f>E381*F381</f>
        <v/>
      </c>
      <c r="H381" s="5">
        <f>G381*0.35</f>
        <v/>
      </c>
      <c r="I381" s="5">
        <f>(G381+H381)*0.05</f>
        <v/>
      </c>
      <c r="J381" s="5">
        <f>(G381+H381+I381)*0.03</f>
        <v/>
      </c>
      <c r="K381" s="5">
        <f>G381+H381+I381+J381</f>
        <v/>
      </c>
      <c r="L381" s="5">
        <f>K381*0.08</f>
        <v/>
      </c>
      <c r="M381" s="5">
        <f>K381+L381</f>
        <v/>
      </c>
      <c r="N381" s="4" t="n">
        <v>38.24</v>
      </c>
      <c r="O381" s="5">
        <f>(E381*N381)*1.35*1.05*1.03*1.08</f>
        <v/>
      </c>
      <c r="P381" s="4" t="n">
        <v>38.24</v>
      </c>
      <c r="Q381" s="5">
        <f>(E381*P381)*1.35*1.05*1.03*1.08</f>
        <v/>
      </c>
      <c r="R381" s="4" t="n">
        <v>38.24</v>
      </c>
      <c r="S381" s="5">
        <f>(E381*R381)*1.35*1.05*1.03*1.08</f>
        <v/>
      </c>
      <c r="T381" s="4" t="n">
        <v>38.24</v>
      </c>
      <c r="U381" s="5">
        <f>(E381*T381)*1.35*1.05*1.03*1.08</f>
        <v/>
      </c>
      <c r="V381" s="4">
        <f>F381+N381+P381+R381+T381</f>
        <v/>
      </c>
      <c r="W381" s="5">
        <f>M381+O381+Q381+S381+U381</f>
        <v/>
      </c>
    </row>
    <row r="382">
      <c r="A382" t="inlineStr">
        <is>
          <t>CP</t>
        </is>
      </c>
      <c r="B382" t="inlineStr">
        <is>
          <t>Computer Operator V</t>
        </is>
      </c>
      <c r="C382" t="inlineStr">
        <is>
          <t>SCA</t>
        </is>
      </c>
      <c r="D382" t="inlineStr">
        <is>
          <t>CBA</t>
        </is>
      </c>
      <c r="E382" s="5" t="n">
        <v>37.21</v>
      </c>
      <c r="F382" s="4" t="n">
        <v>382.4</v>
      </c>
      <c r="G382" s="5">
        <f>E382*F382</f>
        <v/>
      </c>
      <c r="H382" s="5">
        <f>G382*0.35</f>
        <v/>
      </c>
      <c r="I382" s="5">
        <f>(G382+H382)*0.05</f>
        <v/>
      </c>
      <c r="J382" s="5">
        <f>(G382+H382+I382)*0.03</f>
        <v/>
      </c>
      <c r="K382" s="5">
        <f>G382+H382+I382+J382</f>
        <v/>
      </c>
      <c r="L382" s="5">
        <f>K382*0.08</f>
        <v/>
      </c>
      <c r="M382" s="5">
        <f>K382+L382</f>
        <v/>
      </c>
      <c r="N382" s="4" t="n">
        <v>76.48</v>
      </c>
      <c r="O382" s="5">
        <f>(E382*N382)*1.35*1.05*1.03*1.08</f>
        <v/>
      </c>
      <c r="P382" s="4" t="n">
        <v>76.48</v>
      </c>
      <c r="Q382" s="5">
        <f>(E382*P382)*1.35*1.05*1.03*1.08</f>
        <v/>
      </c>
      <c r="R382" s="4" t="n">
        <v>76.48</v>
      </c>
      <c r="S382" s="5">
        <f>(E382*R382)*1.35*1.05*1.03*1.08</f>
        <v/>
      </c>
      <c r="T382" s="4" t="n">
        <v>76.48</v>
      </c>
      <c r="U382" s="5">
        <f>(E382*T382)*1.35*1.05*1.03*1.08</f>
        <v/>
      </c>
      <c r="V382" s="4">
        <f>F382+N382+P382+R382+T382</f>
        <v/>
      </c>
      <c r="W382" s="5">
        <f>M382+O382+Q382+S382+U382</f>
        <v/>
      </c>
    </row>
    <row r="383">
      <c r="A383" t="inlineStr">
        <is>
          <t>CP</t>
        </is>
      </c>
      <c r="B383" t="inlineStr">
        <is>
          <t>Tactical Data Link Analyst</t>
        </is>
      </c>
      <c r="C383" t="inlineStr">
        <is>
          <t>Non-SCA</t>
        </is>
      </c>
      <c r="D383" t="inlineStr">
        <is>
          <t>Exempt</t>
        </is>
      </c>
      <c r="E383" s="5" t="n">
        <v>75</v>
      </c>
      <c r="F383" s="4" t="n">
        <v>191.2</v>
      </c>
      <c r="G383" s="5">
        <f>E383*F383</f>
        <v/>
      </c>
      <c r="H383" s="5">
        <f>G383*0.35</f>
        <v/>
      </c>
      <c r="I383" s="5">
        <f>(G383+H383)*0.05</f>
        <v/>
      </c>
      <c r="J383" s="5">
        <f>(G383+H383+I383)*0.03</f>
        <v/>
      </c>
      <c r="K383" s="5">
        <f>G383+H383+I383+J383</f>
        <v/>
      </c>
      <c r="L383" s="5">
        <f>K383*0.08</f>
        <v/>
      </c>
      <c r="M383" s="5">
        <f>K383+L383</f>
        <v/>
      </c>
      <c r="N383" s="4" t="n">
        <v>38.24</v>
      </c>
      <c r="O383" s="5">
        <f>(E383*N383)*1.35*1.05*1.03*1.08</f>
        <v/>
      </c>
      <c r="P383" s="4" t="n">
        <v>38.24</v>
      </c>
      <c r="Q383" s="5">
        <f>(E383*P383)*1.35*1.05*1.03*1.08</f>
        <v/>
      </c>
      <c r="R383" s="4" t="n">
        <v>38.24</v>
      </c>
      <c r="S383" s="5">
        <f>(E383*R383)*1.35*1.05*1.03*1.08</f>
        <v/>
      </c>
      <c r="T383" s="4" t="n">
        <v>38.24</v>
      </c>
      <c r="U383" s="5">
        <f>(E383*T383)*1.35*1.05*1.03*1.08</f>
        <v/>
      </c>
      <c r="V383" s="4">
        <f>F383+N383+P383+R383+T383</f>
        <v/>
      </c>
      <c r="W383" s="5">
        <f>M383+O383+Q383+S383+U383</f>
        <v/>
      </c>
    </row>
    <row r="384">
      <c r="A384" t="inlineStr">
        <is>
          <t>CP</t>
        </is>
      </c>
      <c r="B384" t="inlineStr">
        <is>
          <t>Engineering Technician IV</t>
        </is>
      </c>
      <c r="C384" t="inlineStr">
        <is>
          <t>SCA</t>
        </is>
      </c>
      <c r="D384" t="inlineStr">
        <is>
          <t>CBA</t>
        </is>
      </c>
      <c r="E384" s="5" t="n">
        <v>32.53</v>
      </c>
      <c r="F384" s="4" t="n">
        <v>191.2</v>
      </c>
      <c r="G384" s="5">
        <f>E384*F384</f>
        <v/>
      </c>
      <c r="H384" s="5">
        <f>G384*0.35</f>
        <v/>
      </c>
      <c r="I384" s="5">
        <f>(G384+H384)*0.05</f>
        <v/>
      </c>
      <c r="J384" s="5">
        <f>(G384+H384+I384)*0.03</f>
        <v/>
      </c>
      <c r="K384" s="5">
        <f>G384+H384+I384+J384</f>
        <v/>
      </c>
      <c r="L384" s="5">
        <f>K384*0.08</f>
        <v/>
      </c>
      <c r="M384" s="5">
        <f>K384+L384</f>
        <v/>
      </c>
      <c r="N384" s="4" t="n">
        <v>38.24</v>
      </c>
      <c r="O384" s="5">
        <f>(E384*N384)*1.35*1.05*1.03*1.08</f>
        <v/>
      </c>
      <c r="P384" s="4" t="n">
        <v>38.24</v>
      </c>
      <c r="Q384" s="5">
        <f>(E384*P384)*1.35*1.05*1.03*1.08</f>
        <v/>
      </c>
      <c r="R384" s="4" t="n">
        <v>38.24</v>
      </c>
      <c r="S384" s="5">
        <f>(E384*R384)*1.35*1.05*1.03*1.08</f>
        <v/>
      </c>
      <c r="T384" s="4" t="n">
        <v>38.24</v>
      </c>
      <c r="U384" s="5">
        <f>(E384*T384)*1.35*1.05*1.03*1.08</f>
        <v/>
      </c>
      <c r="V384" s="4">
        <f>F384+N384+P384+R384+T384</f>
        <v/>
      </c>
      <c r="W384" s="5">
        <f>M384+O384+Q384+S384+U384</f>
        <v/>
      </c>
    </row>
    <row r="385">
      <c r="A385" t="inlineStr">
        <is>
          <t>CP</t>
        </is>
      </c>
      <c r="B385" t="inlineStr">
        <is>
          <t>Electronics Technician II</t>
        </is>
      </c>
      <c r="C385" t="inlineStr">
        <is>
          <t>SCA</t>
        </is>
      </c>
      <c r="D385" t="inlineStr">
        <is>
          <t>SCLS</t>
        </is>
      </c>
      <c r="E385" s="5" t="n">
        <v>36.22</v>
      </c>
      <c r="F385" s="4" t="n">
        <v>2676.8</v>
      </c>
      <c r="G385" s="5">
        <f>E385*F385</f>
        <v/>
      </c>
      <c r="H385" s="5">
        <f>G385*0.35</f>
        <v/>
      </c>
      <c r="I385" s="5">
        <f>(G385+H385)*0.05</f>
        <v/>
      </c>
      <c r="J385" s="5">
        <f>(G385+H385+I385)*0.03</f>
        <v/>
      </c>
      <c r="K385" s="5">
        <f>G385+H385+I385+J385</f>
        <v/>
      </c>
      <c r="L385" s="5">
        <f>K385*0.08</f>
        <v/>
      </c>
      <c r="M385" s="5">
        <f>K385+L385</f>
        <v/>
      </c>
      <c r="N385" s="4" t="n">
        <v>535.36</v>
      </c>
      <c r="O385" s="5">
        <f>(E385*N385)*1.35*1.05*1.03*1.08</f>
        <v/>
      </c>
      <c r="P385" s="4" t="n">
        <v>535.36</v>
      </c>
      <c r="Q385" s="5">
        <f>(E385*P385)*1.35*1.05*1.03*1.08</f>
        <v/>
      </c>
      <c r="R385" s="4" t="n">
        <v>535.36</v>
      </c>
      <c r="S385" s="5">
        <f>(E385*R385)*1.35*1.05*1.03*1.08</f>
        <v/>
      </c>
      <c r="T385" s="4" t="n">
        <v>535.36</v>
      </c>
      <c r="U385" s="5">
        <f>(E385*T385)*1.35*1.05*1.03*1.08</f>
        <v/>
      </c>
      <c r="V385" s="4">
        <f>F385+N385+P385+R385+T385</f>
        <v/>
      </c>
      <c r="W385" s="5">
        <f>M385+O385+Q385+S385+U385</f>
        <v/>
      </c>
    </row>
    <row r="386">
      <c r="A386" t="inlineStr">
        <is>
          <t>CP</t>
        </is>
      </c>
      <c r="B386" t="inlineStr">
        <is>
          <t>Electronics Technician III</t>
        </is>
      </c>
      <c r="C386" t="inlineStr">
        <is>
          <t>SCA</t>
        </is>
      </c>
      <c r="D386" t="inlineStr">
        <is>
          <t>SCLS</t>
        </is>
      </c>
      <c r="E386" s="5" t="n">
        <v>38.28</v>
      </c>
      <c r="F386" s="4" t="n">
        <v>3632.8</v>
      </c>
      <c r="G386" s="5">
        <f>E386*F386</f>
        <v/>
      </c>
      <c r="H386" s="5">
        <f>G386*0.35</f>
        <v/>
      </c>
      <c r="I386" s="5">
        <f>(G386+H386)*0.05</f>
        <v/>
      </c>
      <c r="J386" s="5">
        <f>(G386+H386+I386)*0.03</f>
        <v/>
      </c>
      <c r="K386" s="5">
        <f>G386+H386+I386+J386</f>
        <v/>
      </c>
      <c r="L386" s="5">
        <f>K386*0.08</f>
        <v/>
      </c>
      <c r="M386" s="5">
        <f>K386+L386</f>
        <v/>
      </c>
      <c r="N386" s="4" t="n">
        <v>726.5600000000001</v>
      </c>
      <c r="O386" s="5">
        <f>(E386*N386)*1.35*1.05*1.03*1.08</f>
        <v/>
      </c>
      <c r="P386" s="4" t="n">
        <v>726.5600000000001</v>
      </c>
      <c r="Q386" s="5">
        <f>(E386*P386)*1.35*1.05*1.03*1.08</f>
        <v/>
      </c>
      <c r="R386" s="4" t="n">
        <v>726.5600000000001</v>
      </c>
      <c r="S386" s="5">
        <f>(E386*R386)*1.35*1.05*1.03*1.08</f>
        <v/>
      </c>
      <c r="T386" s="4" t="n">
        <v>726.5600000000001</v>
      </c>
      <c r="U386" s="5">
        <f>(E386*T386)*1.35*1.05*1.03*1.08</f>
        <v/>
      </c>
      <c r="V386" s="4">
        <f>F386+N386+P386+R386+T386</f>
        <v/>
      </c>
      <c r="W386" s="5">
        <f>M386+O386+Q386+S386+U386</f>
        <v/>
      </c>
    </row>
    <row r="387">
      <c r="A387" t="inlineStr">
        <is>
          <t>CP</t>
        </is>
      </c>
      <c r="B387" t="inlineStr">
        <is>
          <t>Engineering Technician V</t>
        </is>
      </c>
      <c r="C387" t="inlineStr">
        <is>
          <t>SCA</t>
        </is>
      </c>
      <c r="D387" t="inlineStr">
        <is>
          <t>SCLS</t>
        </is>
      </c>
      <c r="E387" s="5" t="n">
        <v>39.78</v>
      </c>
      <c r="F387" s="4" t="n">
        <v>956</v>
      </c>
      <c r="G387" s="5">
        <f>E387*F387</f>
        <v/>
      </c>
      <c r="H387" s="5">
        <f>G387*0.35</f>
        <v/>
      </c>
      <c r="I387" s="5">
        <f>(G387+H387)*0.05</f>
        <v/>
      </c>
      <c r="J387" s="5">
        <f>(G387+H387+I387)*0.03</f>
        <v/>
      </c>
      <c r="K387" s="5">
        <f>G387+H387+I387+J387</f>
        <v/>
      </c>
      <c r="L387" s="5">
        <f>K387*0.08</f>
        <v/>
      </c>
      <c r="M387" s="5">
        <f>K387+L387</f>
        <v/>
      </c>
      <c r="N387" s="4" t="n">
        <v>191.2</v>
      </c>
      <c r="O387" s="5">
        <f>(E387*N387)*1.35*1.05*1.03*1.08</f>
        <v/>
      </c>
      <c r="P387" s="4" t="n">
        <v>191.2</v>
      </c>
      <c r="Q387" s="5">
        <f>(E387*P387)*1.35*1.05*1.03*1.08</f>
        <v/>
      </c>
      <c r="R387" s="4" t="n">
        <v>191.2</v>
      </c>
      <c r="S387" s="5">
        <f>(E387*R387)*1.35*1.05*1.03*1.08</f>
        <v/>
      </c>
      <c r="T387" s="4" t="n">
        <v>191.2</v>
      </c>
      <c r="U387" s="5">
        <f>(E387*T387)*1.35*1.05*1.03*1.08</f>
        <v/>
      </c>
      <c r="V387" s="4">
        <f>F387+N387+P387+R387+T387</f>
        <v/>
      </c>
      <c r="W387" s="5">
        <f>M387+O387+Q387+S387+U387</f>
        <v/>
      </c>
    </row>
    <row r="388">
      <c r="A388" t="inlineStr">
        <is>
          <t>CP</t>
        </is>
      </c>
      <c r="B388" t="inlineStr">
        <is>
          <t>Engineering Technician VI</t>
        </is>
      </c>
      <c r="C388" t="inlineStr">
        <is>
          <t>SCA</t>
        </is>
      </c>
      <c r="D388" t="inlineStr">
        <is>
          <t>SCLS</t>
        </is>
      </c>
      <c r="E388" s="5" t="n">
        <v>48.13</v>
      </c>
      <c r="F388" s="4" t="n">
        <v>573.6</v>
      </c>
      <c r="G388" s="5">
        <f>E388*F388</f>
        <v/>
      </c>
      <c r="H388" s="5">
        <f>G388*0.35</f>
        <v/>
      </c>
      <c r="I388" s="5">
        <f>(G388+H388)*0.05</f>
        <v/>
      </c>
      <c r="J388" s="5">
        <f>(G388+H388+I388)*0.03</f>
        <v/>
      </c>
      <c r="K388" s="5">
        <f>G388+H388+I388+J388</f>
        <v/>
      </c>
      <c r="L388" s="5">
        <f>K388*0.08</f>
        <v/>
      </c>
      <c r="M388" s="5">
        <f>K388+L388</f>
        <v/>
      </c>
      <c r="N388" s="4" t="n">
        <v>114.72</v>
      </c>
      <c r="O388" s="5">
        <f>(E388*N388)*1.35*1.05*1.03*1.08</f>
        <v/>
      </c>
      <c r="P388" s="4" t="n">
        <v>114.72</v>
      </c>
      <c r="Q388" s="5">
        <f>(E388*P388)*1.35*1.05*1.03*1.08</f>
        <v/>
      </c>
      <c r="R388" s="4" t="n">
        <v>114.72</v>
      </c>
      <c r="S388" s="5">
        <f>(E388*R388)*1.35*1.05*1.03*1.08</f>
        <v/>
      </c>
      <c r="T388" s="4" t="n">
        <v>114.72</v>
      </c>
      <c r="U388" s="5">
        <f>(E388*T388)*1.35*1.05*1.03*1.08</f>
        <v/>
      </c>
      <c r="V388" s="4">
        <f>F388+N388+P388+R388+T388</f>
        <v/>
      </c>
      <c r="W388" s="5">
        <f>M388+O388+Q388+S388+U388</f>
        <v/>
      </c>
    </row>
    <row r="389">
      <c r="A389" t="inlineStr">
        <is>
          <t>CP</t>
        </is>
      </c>
      <c r="B389" t="inlineStr">
        <is>
          <t>Electrician</t>
        </is>
      </c>
      <c r="C389" t="inlineStr">
        <is>
          <t>Non-SCA</t>
        </is>
      </c>
      <c r="D389" t="inlineStr">
        <is>
          <t>Exempt</t>
        </is>
      </c>
      <c r="E389" s="5" t="n">
        <v>65</v>
      </c>
      <c r="F389" s="4" t="n">
        <v>191.2</v>
      </c>
      <c r="G389" s="5">
        <f>E389*F389</f>
        <v/>
      </c>
      <c r="H389" s="5">
        <f>G389*0.35</f>
        <v/>
      </c>
      <c r="I389" s="5">
        <f>(G389+H389)*0.05</f>
        <v/>
      </c>
      <c r="J389" s="5">
        <f>(G389+H389+I389)*0.03</f>
        <v/>
      </c>
      <c r="K389" s="5">
        <f>G389+H389+I389+J389</f>
        <v/>
      </c>
      <c r="L389" s="5">
        <f>K389*0.08</f>
        <v/>
      </c>
      <c r="M389" s="5">
        <f>K389+L389</f>
        <v/>
      </c>
      <c r="N389" s="4" t="n">
        <v>38.24</v>
      </c>
      <c r="O389" s="5">
        <f>(E389*N389)*1.35*1.05*1.03*1.08</f>
        <v/>
      </c>
      <c r="P389" s="4" t="n">
        <v>38.24</v>
      </c>
      <c r="Q389" s="5">
        <f>(E389*P389)*1.35*1.05*1.03*1.08</f>
        <v/>
      </c>
      <c r="R389" s="4" t="n">
        <v>38.24</v>
      </c>
      <c r="S389" s="5">
        <f>(E389*R389)*1.35*1.05*1.03*1.08</f>
        <v/>
      </c>
      <c r="T389" s="4" t="n">
        <v>38.24</v>
      </c>
      <c r="U389" s="5">
        <f>(E389*T389)*1.35*1.05*1.03*1.08</f>
        <v/>
      </c>
      <c r="V389" s="4">
        <f>F389+N389+P389+R389+T389</f>
        <v/>
      </c>
      <c r="W389" s="5">
        <f>M389+O389+Q389+S389+U389</f>
        <v/>
      </c>
    </row>
    <row r="390">
      <c r="A390" t="inlineStr">
        <is>
          <t>CP</t>
        </is>
      </c>
      <c r="B390" t="inlineStr">
        <is>
          <t>General Maintenance Worker</t>
        </is>
      </c>
      <c r="C390" t="inlineStr">
        <is>
          <t>SCA</t>
        </is>
      </c>
      <c r="D390" t="inlineStr">
        <is>
          <t>SCLS</t>
        </is>
      </c>
      <c r="E390" s="5" t="n">
        <v>24.83</v>
      </c>
      <c r="F390" s="4" t="n">
        <v>764.8000000000001</v>
      </c>
      <c r="G390" s="5">
        <f>E390*F390</f>
        <v/>
      </c>
      <c r="H390" s="5">
        <f>G390*0.35</f>
        <v/>
      </c>
      <c r="I390" s="5">
        <f>(G390+H390)*0.05</f>
        <v/>
      </c>
      <c r="J390" s="5">
        <f>(G390+H390+I390)*0.03</f>
        <v/>
      </c>
      <c r="K390" s="5">
        <f>G390+H390+I390+J390</f>
        <v/>
      </c>
      <c r="L390" s="5">
        <f>K390*0.08</f>
        <v/>
      </c>
      <c r="M390" s="5">
        <f>K390+L390</f>
        <v/>
      </c>
      <c r="N390" s="4" t="n">
        <v>152.96</v>
      </c>
      <c r="O390" s="5">
        <f>(E390*N390)*1.35*1.05*1.03*1.08</f>
        <v/>
      </c>
      <c r="P390" s="4" t="n">
        <v>152.96</v>
      </c>
      <c r="Q390" s="5">
        <f>(E390*P390)*1.35*1.05*1.03*1.08</f>
        <v/>
      </c>
      <c r="R390" s="4" t="n">
        <v>152.96</v>
      </c>
      <c r="S390" s="5">
        <f>(E390*R390)*1.35*1.05*1.03*1.08</f>
        <v/>
      </c>
      <c r="T390" s="4" t="n">
        <v>152.96</v>
      </c>
      <c r="U390" s="5">
        <f>(E390*T390)*1.35*1.05*1.03*1.08</f>
        <v/>
      </c>
      <c r="V390" s="4">
        <f>F390+N390+P390+R390+T390</f>
        <v/>
      </c>
      <c r="W390" s="5">
        <f>M390+O390+Q390+S390+U390</f>
        <v/>
      </c>
    </row>
    <row r="391">
      <c r="A391" t="inlineStr">
        <is>
          <t>CP</t>
        </is>
      </c>
      <c r="B391" t="inlineStr">
        <is>
          <t>Heating, Ventilation and Air Conditioning</t>
        </is>
      </c>
      <c r="C391" t="inlineStr">
        <is>
          <t>SCA</t>
        </is>
      </c>
      <c r="D391" t="inlineStr">
        <is>
          <t>SCLS</t>
        </is>
      </c>
      <c r="E391" s="5" t="n">
        <v>32.86</v>
      </c>
      <c r="F391" s="4" t="n">
        <v>191.2</v>
      </c>
      <c r="G391" s="5">
        <f>E391*F391</f>
        <v/>
      </c>
      <c r="H391" s="5">
        <f>G391*0.35</f>
        <v/>
      </c>
      <c r="I391" s="5">
        <f>(G391+H391)*0.05</f>
        <v/>
      </c>
      <c r="J391" s="5">
        <f>(G391+H391+I391)*0.03</f>
        <v/>
      </c>
      <c r="K391" s="5">
        <f>G391+H391+I391+J391</f>
        <v/>
      </c>
      <c r="L391" s="5">
        <f>K391*0.08</f>
        <v/>
      </c>
      <c r="M391" s="5">
        <f>K391+L391</f>
        <v/>
      </c>
      <c r="N391" s="4" t="n">
        <v>38.24</v>
      </c>
      <c r="O391" s="5">
        <f>(E391*N391)*1.35*1.05*1.03*1.08</f>
        <v/>
      </c>
      <c r="P391" s="4" t="n">
        <v>38.24</v>
      </c>
      <c r="Q391" s="5">
        <f>(E391*P391)*1.35*1.05*1.03*1.08</f>
        <v/>
      </c>
      <c r="R391" s="4" t="n">
        <v>38.24</v>
      </c>
      <c r="S391" s="5">
        <f>(E391*R391)*1.35*1.05*1.03*1.08</f>
        <v/>
      </c>
      <c r="T391" s="4" t="n">
        <v>38.24</v>
      </c>
      <c r="U391" s="5">
        <f>(E391*T391)*1.35*1.05*1.03*1.08</f>
        <v/>
      </c>
      <c r="V391" s="4">
        <f>F391+N391+P391+R391+T391</f>
        <v/>
      </c>
      <c r="W391" s="5">
        <f>M391+O391+Q391+S391+U391</f>
        <v/>
      </c>
    </row>
    <row r="392">
      <c r="A392" t="inlineStr">
        <is>
          <t>CP</t>
        </is>
      </c>
      <c r="B392" t="inlineStr">
        <is>
          <t>Heavy Equipment Mechanic/Operator</t>
        </is>
      </c>
      <c r="C392" t="inlineStr">
        <is>
          <t>SCA</t>
        </is>
      </c>
      <c r="D392" t="inlineStr">
        <is>
          <t>CBA</t>
        </is>
      </c>
      <c r="E392" s="5" t="n">
        <v>35.52</v>
      </c>
      <c r="F392" s="4" t="n">
        <v>573.6</v>
      </c>
      <c r="G392" s="5">
        <f>E392*F392</f>
        <v/>
      </c>
      <c r="H392" s="5">
        <f>G392*0.35</f>
        <v/>
      </c>
      <c r="I392" s="5">
        <f>(G392+H392)*0.05</f>
        <v/>
      </c>
      <c r="J392" s="5">
        <f>(G392+H392+I392)*0.03</f>
        <v/>
      </c>
      <c r="K392" s="5">
        <f>G392+H392+I392+J392</f>
        <v/>
      </c>
      <c r="L392" s="5">
        <f>K392*0.08</f>
        <v/>
      </c>
      <c r="M392" s="5">
        <f>K392+L392</f>
        <v/>
      </c>
      <c r="N392" s="4" t="n">
        <v>114.72</v>
      </c>
      <c r="O392" s="5">
        <f>(E392*N392)*1.35*1.05*1.03*1.08</f>
        <v/>
      </c>
      <c r="P392" s="4" t="n">
        <v>114.72</v>
      </c>
      <c r="Q392" s="5">
        <f>(E392*P392)*1.35*1.05*1.03*1.08</f>
        <v/>
      </c>
      <c r="R392" s="4" t="n">
        <v>114.72</v>
      </c>
      <c r="S392" s="5">
        <f>(E392*R392)*1.35*1.05*1.03*1.08</f>
        <v/>
      </c>
      <c r="T392" s="4" t="n">
        <v>114.72</v>
      </c>
      <c r="U392" s="5">
        <f>(E392*T392)*1.35*1.05*1.03*1.08</f>
        <v/>
      </c>
      <c r="V392" s="4">
        <f>F392+N392+P392+R392+T392</f>
        <v/>
      </c>
      <c r="W392" s="5">
        <f>M392+O392+Q392+S392+U392</f>
        <v/>
      </c>
    </row>
    <row r="393">
      <c r="A393" t="inlineStr">
        <is>
          <t>CP</t>
        </is>
      </c>
      <c r="B393" t="inlineStr">
        <is>
          <t>Maintenance Coordinator</t>
        </is>
      </c>
      <c r="C393" t="inlineStr">
        <is>
          <t>Non-SCA</t>
        </is>
      </c>
      <c r="D393" t="inlineStr">
        <is>
          <t>Exempt</t>
        </is>
      </c>
      <c r="E393" s="5" t="n">
        <v>80</v>
      </c>
      <c r="F393" s="4" t="n">
        <v>382.4</v>
      </c>
      <c r="G393" s="5">
        <f>E393*F393</f>
        <v/>
      </c>
      <c r="H393" s="5">
        <f>G393*0.35</f>
        <v/>
      </c>
      <c r="I393" s="5">
        <f>(G393+H393)*0.05</f>
        <v/>
      </c>
      <c r="J393" s="5">
        <f>(G393+H393+I393)*0.03</f>
        <v/>
      </c>
      <c r="K393" s="5">
        <f>G393+H393+I393+J393</f>
        <v/>
      </c>
      <c r="L393" s="5">
        <f>K393*0.08</f>
        <v/>
      </c>
      <c r="M393" s="5">
        <f>K393+L393</f>
        <v/>
      </c>
      <c r="N393" s="4" t="n">
        <v>76.48</v>
      </c>
      <c r="O393" s="5">
        <f>(E393*N393)*1.35*1.05*1.03*1.08</f>
        <v/>
      </c>
      <c r="P393" s="4" t="n">
        <v>76.48</v>
      </c>
      <c r="Q393" s="5">
        <f>(E393*P393)*1.35*1.05*1.03*1.08</f>
        <v/>
      </c>
      <c r="R393" s="4" t="n">
        <v>76.48</v>
      </c>
      <c r="S393" s="5">
        <f>(E393*R393)*1.35*1.05*1.03*1.08</f>
        <v/>
      </c>
      <c r="T393" s="4" t="n">
        <v>76.48</v>
      </c>
      <c r="U393" s="5">
        <f>(E393*T393)*1.35*1.05*1.03*1.08</f>
        <v/>
      </c>
      <c r="V393" s="4">
        <f>F393+N393+P393+R393+T393</f>
        <v/>
      </c>
      <c r="W393" s="5">
        <f>M393+O393+Q393+S393+U393</f>
        <v/>
      </c>
    </row>
    <row r="394">
      <c r="A394" t="inlineStr">
        <is>
          <t>CP</t>
        </is>
      </c>
      <c r="B394" t="inlineStr">
        <is>
          <t>Logistician Analyst IV</t>
        </is>
      </c>
      <c r="C394" t="inlineStr">
        <is>
          <t>Non-SCA</t>
        </is>
      </c>
      <c r="D394" t="inlineStr">
        <is>
          <t>Exempt</t>
        </is>
      </c>
      <c r="E394" s="5" t="n">
        <v>75</v>
      </c>
      <c r="F394" s="4" t="n">
        <v>191.2</v>
      </c>
      <c r="G394" s="5">
        <f>E394*F394</f>
        <v/>
      </c>
      <c r="H394" s="5">
        <f>G394*0.35</f>
        <v/>
      </c>
      <c r="I394" s="5">
        <f>(G394+H394)*0.05</f>
        <v/>
      </c>
      <c r="J394" s="5">
        <f>(G394+H394+I394)*0.03</f>
        <v/>
      </c>
      <c r="K394" s="5">
        <f>G394+H394+I394+J394</f>
        <v/>
      </c>
      <c r="L394" s="5">
        <f>K394*0.08</f>
        <v/>
      </c>
      <c r="M394" s="5">
        <f>K394+L394</f>
        <v/>
      </c>
      <c r="N394" s="4" t="n">
        <v>38.24</v>
      </c>
      <c r="O394" s="5">
        <f>(E394*N394)*1.35*1.05*1.03*1.08</f>
        <v/>
      </c>
      <c r="P394" s="4" t="n">
        <v>38.24</v>
      </c>
      <c r="Q394" s="5">
        <f>(E394*P394)*1.35*1.05*1.03*1.08</f>
        <v/>
      </c>
      <c r="R394" s="4" t="n">
        <v>38.24</v>
      </c>
      <c r="S394" s="5">
        <f>(E394*R394)*1.35*1.05*1.03*1.08</f>
        <v/>
      </c>
      <c r="T394" s="4" t="n">
        <v>38.24</v>
      </c>
      <c r="U394" s="5">
        <f>(E394*T394)*1.35*1.05*1.03*1.08</f>
        <v/>
      </c>
      <c r="V394" s="4">
        <f>F394+N394+P394+R394+T394</f>
        <v/>
      </c>
      <c r="W394" s="5">
        <f>M394+O394+Q394+S394+U394</f>
        <v/>
      </c>
    </row>
    <row r="395">
      <c r="A395" t="inlineStr">
        <is>
          <t>CP</t>
        </is>
      </c>
      <c r="B395" t="inlineStr">
        <is>
          <t>Supply Technician</t>
        </is>
      </c>
      <c r="C395" t="inlineStr">
        <is>
          <t>SCA</t>
        </is>
      </c>
      <c r="D395" t="inlineStr">
        <is>
          <t>CBA</t>
        </is>
      </c>
      <c r="E395" s="5" t="n">
        <v>39.73</v>
      </c>
      <c r="F395" s="4" t="n">
        <v>573.6</v>
      </c>
      <c r="G395" s="5">
        <f>E395*F395</f>
        <v/>
      </c>
      <c r="H395" s="5">
        <f>G395*0.35</f>
        <v/>
      </c>
      <c r="I395" s="5">
        <f>(G395+H395)*0.05</f>
        <v/>
      </c>
      <c r="J395" s="5">
        <f>(G395+H395+I395)*0.03</f>
        <v/>
      </c>
      <c r="K395" s="5">
        <f>G395+H395+I395+J395</f>
        <v/>
      </c>
      <c r="L395" s="5">
        <f>K395*0.08</f>
        <v/>
      </c>
      <c r="M395" s="5">
        <f>K395+L395</f>
        <v/>
      </c>
      <c r="N395" s="4" t="n">
        <v>114.72</v>
      </c>
      <c r="O395" s="5">
        <f>(E395*N395)*1.35*1.05*1.03*1.08</f>
        <v/>
      </c>
      <c r="P395" s="4" t="n">
        <v>114.72</v>
      </c>
      <c r="Q395" s="5">
        <f>(E395*P395)*1.35*1.05*1.03*1.08</f>
        <v/>
      </c>
      <c r="R395" s="4" t="n">
        <v>114.72</v>
      </c>
      <c r="S395" s="5">
        <f>(E395*R395)*1.35*1.05*1.03*1.08</f>
        <v/>
      </c>
      <c r="T395" s="4" t="n">
        <v>114.72</v>
      </c>
      <c r="U395" s="5">
        <f>(E395*T395)*1.35*1.05*1.03*1.08</f>
        <v/>
      </c>
      <c r="V395" s="4">
        <f>F395+N395+P395+R395+T395</f>
        <v/>
      </c>
      <c r="W395" s="5">
        <f>M395+O395+Q395+S395+U395</f>
        <v/>
      </c>
    </row>
    <row r="396">
      <c r="A396" t="inlineStr">
        <is>
          <t>CP</t>
        </is>
      </c>
      <c r="B396" t="inlineStr">
        <is>
          <t>Security Coordinator</t>
        </is>
      </c>
      <c r="C396" t="inlineStr">
        <is>
          <t>Non-SCA</t>
        </is>
      </c>
      <c r="D396" t="inlineStr">
        <is>
          <t>Exempt</t>
        </is>
      </c>
      <c r="E396" s="5" t="n">
        <v>70</v>
      </c>
      <c r="F396" s="4" t="n">
        <v>191.2</v>
      </c>
      <c r="G396" s="5">
        <f>E396*F396</f>
        <v/>
      </c>
      <c r="H396" s="5">
        <f>G396*0.35</f>
        <v/>
      </c>
      <c r="I396" s="5">
        <f>(G396+H396)*0.05</f>
        <v/>
      </c>
      <c r="J396" s="5">
        <f>(G396+H396+I396)*0.03</f>
        <v/>
      </c>
      <c r="K396" s="5">
        <f>G396+H396+I396+J396</f>
        <v/>
      </c>
      <c r="L396" s="5">
        <f>K396*0.08</f>
        <v/>
      </c>
      <c r="M396" s="5">
        <f>K396+L396</f>
        <v/>
      </c>
      <c r="N396" s="4" t="n">
        <v>38.24</v>
      </c>
      <c r="O396" s="5">
        <f>(E396*N396)*1.35*1.05*1.03*1.08</f>
        <v/>
      </c>
      <c r="P396" s="4" t="n">
        <v>38.24</v>
      </c>
      <c r="Q396" s="5">
        <f>(E396*P396)*1.35*1.05*1.03*1.08</f>
        <v/>
      </c>
      <c r="R396" s="4" t="n">
        <v>38.24</v>
      </c>
      <c r="S396" s="5">
        <f>(E396*R396)*1.35*1.05*1.03*1.08</f>
        <v/>
      </c>
      <c r="T396" s="4" t="n">
        <v>38.24</v>
      </c>
      <c r="U396" s="5">
        <f>(E396*T396)*1.35*1.05*1.03*1.08</f>
        <v/>
      </c>
      <c r="V396" s="4">
        <f>F396+N396+P396+R396+T396</f>
        <v/>
      </c>
      <c r="W396" s="5">
        <f>M396+O396+Q396+S396+U396</f>
        <v/>
      </c>
    </row>
    <row r="397">
      <c r="A397" t="inlineStr">
        <is>
          <t>CP</t>
        </is>
      </c>
      <c r="B397" t="inlineStr">
        <is>
          <t>Quality Assurance/Safety Evaluator</t>
        </is>
      </c>
      <c r="C397" t="inlineStr">
        <is>
          <t>Non-SCA</t>
        </is>
      </c>
      <c r="D397" t="inlineStr">
        <is>
          <t>Exempt</t>
        </is>
      </c>
      <c r="E397" s="5" t="n">
        <v>75</v>
      </c>
      <c r="F397" s="4" t="n">
        <v>191.2</v>
      </c>
      <c r="G397" s="5">
        <f>E397*F397</f>
        <v/>
      </c>
      <c r="H397" s="5">
        <f>G397*0.35</f>
        <v/>
      </c>
      <c r="I397" s="5">
        <f>(G397+H397)*0.05</f>
        <v/>
      </c>
      <c r="J397" s="5">
        <f>(G397+H397+I397)*0.03</f>
        <v/>
      </c>
      <c r="K397" s="5">
        <f>G397+H397+I397+J397</f>
        <v/>
      </c>
      <c r="L397" s="5">
        <f>K397*0.08</f>
        <v/>
      </c>
      <c r="M397" s="5">
        <f>K397+L397</f>
        <v/>
      </c>
      <c r="N397" s="4" t="n">
        <v>38.24</v>
      </c>
      <c r="O397" s="5">
        <f>(E397*N397)*1.35*1.05*1.03*1.08</f>
        <v/>
      </c>
      <c r="P397" s="4" t="n">
        <v>38.24</v>
      </c>
      <c r="Q397" s="5">
        <f>(E397*P397)*1.35*1.05*1.03*1.08</f>
        <v/>
      </c>
      <c r="R397" s="4" t="n">
        <v>38.24</v>
      </c>
      <c r="S397" s="5">
        <f>(E397*R397)*1.35*1.05*1.03*1.08</f>
        <v/>
      </c>
      <c r="T397" s="4" t="n">
        <v>38.24</v>
      </c>
      <c r="U397" s="5">
        <f>(E397*T397)*1.35*1.05*1.03*1.08</f>
        <v/>
      </c>
      <c r="V397" s="4">
        <f>F397+N397+P397+R397+T397</f>
        <v/>
      </c>
      <c r="W397" s="5">
        <f>M397+O397+Q397+S397+U397</f>
        <v/>
      </c>
    </row>
    <row r="398">
      <c r="A398" t="inlineStr">
        <is>
          <t>Navy Dare</t>
        </is>
      </c>
      <c r="B398" t="inlineStr">
        <is>
          <t>Site Manager</t>
        </is>
      </c>
      <c r="C398" t="inlineStr">
        <is>
          <t>Non-SCA</t>
        </is>
      </c>
      <c r="D398" t="inlineStr">
        <is>
          <t>Exempt</t>
        </is>
      </c>
      <c r="E398" s="5" t="n">
        <v>95</v>
      </c>
      <c r="F398" s="4" t="n">
        <v>191.2</v>
      </c>
      <c r="G398" s="5">
        <f>E398*F398</f>
        <v/>
      </c>
      <c r="H398" s="5">
        <f>G398*0.35</f>
        <v/>
      </c>
      <c r="I398" s="5">
        <f>(G398+H398)*0.05</f>
        <v/>
      </c>
      <c r="J398" s="5">
        <f>(G398+H398+I398)*0.03</f>
        <v/>
      </c>
      <c r="K398" s="5">
        <f>G398+H398+I398+J398</f>
        <v/>
      </c>
      <c r="L398" s="5">
        <f>K398*0.08</f>
        <v/>
      </c>
      <c r="M398" s="5">
        <f>K398+L398</f>
        <v/>
      </c>
      <c r="N398" s="4" t="n">
        <v>38.24</v>
      </c>
      <c r="O398" s="5">
        <f>(E398*N398)*1.35*1.05*1.03*1.08</f>
        <v/>
      </c>
      <c r="P398" s="4" t="n">
        <v>38.24</v>
      </c>
      <c r="Q398" s="5">
        <f>(E398*P398)*1.35*1.05*1.03*1.08</f>
        <v/>
      </c>
      <c r="R398" s="4" t="n">
        <v>38.24</v>
      </c>
      <c r="S398" s="5">
        <f>(E398*R398)*1.35*1.05*1.03*1.08</f>
        <v/>
      </c>
      <c r="T398" s="4" t="n">
        <v>38.24</v>
      </c>
      <c r="U398" s="5">
        <f>(E398*T398)*1.35*1.05*1.03*1.08</f>
        <v/>
      </c>
      <c r="V398" s="4">
        <f>F398+N398+P398+R398+T398</f>
        <v/>
      </c>
      <c r="W398" s="5">
        <f>M398+O398+Q398+S398+U398</f>
        <v/>
      </c>
    </row>
    <row r="399">
      <c r="A399" t="inlineStr">
        <is>
          <t>Navy Dare</t>
        </is>
      </c>
      <c r="B399" t="inlineStr">
        <is>
          <t>Mission Coordinator, Senior</t>
        </is>
      </c>
      <c r="C399" t="inlineStr">
        <is>
          <t>Non-SCA</t>
        </is>
      </c>
      <c r="D399" t="inlineStr">
        <is>
          <t>Exempt</t>
        </is>
      </c>
      <c r="E399" s="5" t="n">
        <v>95</v>
      </c>
      <c r="F399" s="4" t="n">
        <v>191.2</v>
      </c>
      <c r="G399" s="5">
        <f>E399*F399</f>
        <v/>
      </c>
      <c r="H399" s="5">
        <f>G399*0.35</f>
        <v/>
      </c>
      <c r="I399" s="5">
        <f>(G399+H399)*0.05</f>
        <v/>
      </c>
      <c r="J399" s="5">
        <f>(G399+H399+I399)*0.03</f>
        <v/>
      </c>
      <c r="K399" s="5">
        <f>G399+H399+I399+J399</f>
        <v/>
      </c>
      <c r="L399" s="5">
        <f>K399*0.08</f>
        <v/>
      </c>
      <c r="M399" s="5">
        <f>K399+L399</f>
        <v/>
      </c>
      <c r="N399" s="4" t="n">
        <v>38.24</v>
      </c>
      <c r="O399" s="5">
        <f>(E399*N399)*1.35*1.05*1.03*1.08</f>
        <v/>
      </c>
      <c r="P399" s="4" t="n">
        <v>38.24</v>
      </c>
      <c r="Q399" s="5">
        <f>(E399*P399)*1.35*1.05*1.03*1.08</f>
        <v/>
      </c>
      <c r="R399" s="4" t="n">
        <v>38.24</v>
      </c>
      <c r="S399" s="5">
        <f>(E399*R399)*1.35*1.05*1.03*1.08</f>
        <v/>
      </c>
      <c r="T399" s="4" t="n">
        <v>38.24</v>
      </c>
      <c r="U399" s="5">
        <f>(E399*T399)*1.35*1.05*1.03*1.08</f>
        <v/>
      </c>
      <c r="V399" s="4">
        <f>F399+N399+P399+R399+T399</f>
        <v/>
      </c>
      <c r="W399" s="5">
        <f>M399+O399+Q399+S399+U399</f>
        <v/>
      </c>
    </row>
    <row r="400">
      <c r="A400" t="inlineStr">
        <is>
          <t>Navy Dare</t>
        </is>
      </c>
      <c r="B400" t="inlineStr">
        <is>
          <t>Technical Support Specialist</t>
        </is>
      </c>
      <c r="C400" t="inlineStr">
        <is>
          <t>Non-SCA</t>
        </is>
      </c>
      <c r="D400" t="inlineStr">
        <is>
          <t>Exempt</t>
        </is>
      </c>
      <c r="E400" s="5" t="n">
        <v>80</v>
      </c>
      <c r="F400" s="4" t="n">
        <v>956</v>
      </c>
      <c r="G400" s="5">
        <f>E400*F400</f>
        <v/>
      </c>
      <c r="H400" s="5">
        <f>G400*0.35</f>
        <v/>
      </c>
      <c r="I400" s="5">
        <f>(G400+H400)*0.05</f>
        <v/>
      </c>
      <c r="J400" s="5">
        <f>(G400+H400+I400)*0.03</f>
        <v/>
      </c>
      <c r="K400" s="5">
        <f>G400+H400+I400+J400</f>
        <v/>
      </c>
      <c r="L400" s="5">
        <f>K400*0.08</f>
        <v/>
      </c>
      <c r="M400" s="5">
        <f>K400+L400</f>
        <v/>
      </c>
      <c r="N400" s="4" t="n">
        <v>191.2</v>
      </c>
      <c r="O400" s="5">
        <f>(E400*N400)*1.35*1.05*1.03*1.08</f>
        <v/>
      </c>
      <c r="P400" s="4" t="n">
        <v>191.2</v>
      </c>
      <c r="Q400" s="5">
        <f>(E400*P400)*1.35*1.05*1.03*1.08</f>
        <v/>
      </c>
      <c r="R400" s="4" t="n">
        <v>191.2</v>
      </c>
      <c r="S400" s="5">
        <f>(E400*R400)*1.35*1.05*1.03*1.08</f>
        <v/>
      </c>
      <c r="T400" s="4" t="n">
        <v>191.2</v>
      </c>
      <c r="U400" s="5">
        <f>(E400*T400)*1.35*1.05*1.03*1.08</f>
        <v/>
      </c>
      <c r="V400" s="4">
        <f>F400+N400+P400+R400+T400</f>
        <v/>
      </c>
      <c r="W400" s="5">
        <f>M400+O400+Q400+S400+U400</f>
        <v/>
      </c>
    </row>
    <row r="401">
      <c r="A401" t="inlineStr">
        <is>
          <t>Navy Dare</t>
        </is>
      </c>
      <c r="B401" t="inlineStr">
        <is>
          <t>Electronics Technician III</t>
        </is>
      </c>
      <c r="C401" t="inlineStr">
        <is>
          <t>SCA</t>
        </is>
      </c>
      <c r="D401" t="inlineStr">
        <is>
          <t>CBA</t>
        </is>
      </c>
      <c r="E401" s="5" t="n">
        <v>41.2</v>
      </c>
      <c r="F401" s="4" t="n">
        <v>573.6</v>
      </c>
      <c r="G401" s="5">
        <f>E401*F401</f>
        <v/>
      </c>
      <c r="H401" s="5">
        <f>G401*0.35</f>
        <v/>
      </c>
      <c r="I401" s="5">
        <f>(G401+H401)*0.05</f>
        <v/>
      </c>
      <c r="J401" s="5">
        <f>(G401+H401+I401)*0.03</f>
        <v/>
      </c>
      <c r="K401" s="5">
        <f>G401+H401+I401+J401</f>
        <v/>
      </c>
      <c r="L401" s="5">
        <f>K401*0.08</f>
        <v/>
      </c>
      <c r="M401" s="5">
        <f>K401+L401</f>
        <v/>
      </c>
      <c r="N401" s="4" t="n">
        <v>114.72</v>
      </c>
      <c r="O401" s="5">
        <f>(E401*N401)*1.35*1.05*1.03*1.08</f>
        <v/>
      </c>
      <c r="P401" s="4" t="n">
        <v>114.72</v>
      </c>
      <c r="Q401" s="5">
        <f>(E401*P401)*1.35*1.05*1.03*1.08</f>
        <v/>
      </c>
      <c r="R401" s="4" t="n">
        <v>114.72</v>
      </c>
      <c r="S401" s="5">
        <f>(E401*R401)*1.35*1.05*1.03*1.08</f>
        <v/>
      </c>
      <c r="T401" s="4" t="n">
        <v>114.72</v>
      </c>
      <c r="U401" s="5">
        <f>(E401*T401)*1.35*1.05*1.03*1.08</f>
        <v/>
      </c>
      <c r="V401" s="4">
        <f>F401+N401+P401+R401+T401</f>
        <v/>
      </c>
      <c r="W401" s="5">
        <f>M401+O401+Q401+S401+U401</f>
        <v/>
      </c>
    </row>
    <row r="402">
      <c r="A402" t="inlineStr">
        <is>
          <t>Navy Dare</t>
        </is>
      </c>
      <c r="B402" t="inlineStr">
        <is>
          <t>Engineering Technician V</t>
        </is>
      </c>
      <c r="C402" t="inlineStr">
        <is>
          <t>SCA</t>
        </is>
      </c>
      <c r="D402" t="inlineStr">
        <is>
          <t>SCLS</t>
        </is>
      </c>
      <c r="E402" s="5" t="n">
        <v>30.12</v>
      </c>
      <c r="F402" s="4" t="n">
        <v>382.4</v>
      </c>
      <c r="G402" s="5">
        <f>E402*F402</f>
        <v/>
      </c>
      <c r="H402" s="5">
        <f>G402*0.35</f>
        <v/>
      </c>
      <c r="I402" s="5">
        <f>(G402+H402)*0.05</f>
        <v/>
      </c>
      <c r="J402" s="5">
        <f>(G402+H402+I402)*0.03</f>
        <v/>
      </c>
      <c r="K402" s="5">
        <f>G402+H402+I402+J402</f>
        <v/>
      </c>
      <c r="L402" s="5">
        <f>K402*0.08</f>
        <v/>
      </c>
      <c r="M402" s="5">
        <f>K402+L402</f>
        <v/>
      </c>
      <c r="N402" s="4" t="n">
        <v>76.48</v>
      </c>
      <c r="O402" s="5">
        <f>(E402*N402)*1.35*1.05*1.03*1.08</f>
        <v/>
      </c>
      <c r="P402" s="4" t="n">
        <v>76.48</v>
      </c>
      <c r="Q402" s="5">
        <f>(E402*P402)*1.35*1.05*1.03*1.08</f>
        <v/>
      </c>
      <c r="R402" s="4" t="n">
        <v>76.48</v>
      </c>
      <c r="S402" s="5">
        <f>(E402*R402)*1.35*1.05*1.03*1.08</f>
        <v/>
      </c>
      <c r="T402" s="4" t="n">
        <v>76.48</v>
      </c>
      <c r="U402" s="5">
        <f>(E402*T402)*1.35*1.05*1.03*1.08</f>
        <v/>
      </c>
      <c r="V402" s="4">
        <f>F402+N402+P402+R402+T402</f>
        <v/>
      </c>
      <c r="W402" s="5">
        <f>M402+O402+Q402+S402+U402</f>
        <v/>
      </c>
    </row>
    <row r="403">
      <c r="A403" t="inlineStr">
        <is>
          <t>Navy Dare</t>
        </is>
      </c>
      <c r="B403" t="inlineStr">
        <is>
          <t>General Maintenance Worker</t>
        </is>
      </c>
      <c r="C403" t="inlineStr">
        <is>
          <t>SCA</t>
        </is>
      </c>
      <c r="D403" t="inlineStr">
        <is>
          <t>CBA</t>
        </is>
      </c>
      <c r="E403" s="5" t="n">
        <v>21.19</v>
      </c>
      <c r="F403" s="4" t="n">
        <v>191.2</v>
      </c>
      <c r="G403" s="5">
        <f>E403*F403</f>
        <v/>
      </c>
      <c r="H403" s="5">
        <f>G403*0.35</f>
        <v/>
      </c>
      <c r="I403" s="5">
        <f>(G403+H403)*0.05</f>
        <v/>
      </c>
      <c r="J403" s="5">
        <f>(G403+H403+I403)*0.03</f>
        <v/>
      </c>
      <c r="K403" s="5">
        <f>G403+H403+I403+J403</f>
        <v/>
      </c>
      <c r="L403" s="5">
        <f>K403*0.08</f>
        <v/>
      </c>
      <c r="M403" s="5">
        <f>K403+L403</f>
        <v/>
      </c>
      <c r="N403" s="4" t="n">
        <v>38.24</v>
      </c>
      <c r="O403" s="5">
        <f>(E403*N403)*1.35*1.05*1.03*1.08</f>
        <v/>
      </c>
      <c r="P403" s="4" t="n">
        <v>38.24</v>
      </c>
      <c r="Q403" s="5">
        <f>(E403*P403)*1.35*1.05*1.03*1.08</f>
        <v/>
      </c>
      <c r="R403" s="4" t="n">
        <v>38.24</v>
      </c>
      <c r="S403" s="5">
        <f>(E403*R403)*1.35*1.05*1.03*1.08</f>
        <v/>
      </c>
      <c r="T403" s="4" t="n">
        <v>38.24</v>
      </c>
      <c r="U403" s="5">
        <f>(E403*T403)*1.35*1.05*1.03*1.08</f>
        <v/>
      </c>
      <c r="V403" s="4">
        <f>F403+N403+P403+R403+T403</f>
        <v/>
      </c>
      <c r="W403" s="5">
        <f>M403+O403+Q403+S403+U403</f>
        <v/>
      </c>
    </row>
    <row r="404">
      <c r="A404" t="inlineStr">
        <is>
          <t>Navy Dare</t>
        </is>
      </c>
      <c r="B404" t="inlineStr">
        <is>
          <t>Motor Vehicle Mechanic</t>
        </is>
      </c>
      <c r="C404" t="inlineStr">
        <is>
          <t>SCA</t>
        </is>
      </c>
      <c r="D404" t="inlineStr">
        <is>
          <t>SCLS</t>
        </is>
      </c>
      <c r="E404" s="5" t="n">
        <v>22.17</v>
      </c>
      <c r="F404" s="4" t="n">
        <v>191.2</v>
      </c>
      <c r="G404" s="5">
        <f>E404*F404</f>
        <v/>
      </c>
      <c r="H404" s="5">
        <f>G404*0.35</f>
        <v/>
      </c>
      <c r="I404" s="5">
        <f>(G404+H404)*0.05</f>
        <v/>
      </c>
      <c r="J404" s="5">
        <f>(G404+H404+I404)*0.03</f>
        <v/>
      </c>
      <c r="K404" s="5">
        <f>G404+H404+I404+J404</f>
        <v/>
      </c>
      <c r="L404" s="5">
        <f>K404*0.08</f>
        <v/>
      </c>
      <c r="M404" s="5">
        <f>K404+L404</f>
        <v/>
      </c>
      <c r="N404" s="4" t="n">
        <v>38.24</v>
      </c>
      <c r="O404" s="5">
        <f>(E404*N404)*1.35*1.05*1.03*1.08</f>
        <v/>
      </c>
      <c r="P404" s="4" t="n">
        <v>38.24</v>
      </c>
      <c r="Q404" s="5">
        <f>(E404*P404)*1.35*1.05*1.03*1.08</f>
        <v/>
      </c>
      <c r="R404" s="4" t="n">
        <v>38.24</v>
      </c>
      <c r="S404" s="5">
        <f>(E404*R404)*1.35*1.05*1.03*1.08</f>
        <v/>
      </c>
      <c r="T404" s="4" t="n">
        <v>38.24</v>
      </c>
      <c r="U404" s="5">
        <f>(E404*T404)*1.35*1.05*1.03*1.08</f>
        <v/>
      </c>
      <c r="V404" s="4">
        <f>F404+N404+P404+R404+T404</f>
        <v/>
      </c>
      <c r="W404" s="5">
        <f>M404+O404+Q404+S404+U404</f>
        <v/>
      </c>
    </row>
    <row r="405">
      <c r="A405" t="inlineStr">
        <is>
          <t>Navy Dare</t>
        </is>
      </c>
      <c r="B405" t="inlineStr">
        <is>
          <t>Logistician Analyst IV</t>
        </is>
      </c>
      <c r="C405" t="inlineStr">
        <is>
          <t>Non-SCA</t>
        </is>
      </c>
      <c r="D405" t="inlineStr">
        <is>
          <t>Exempt</t>
        </is>
      </c>
      <c r="E405" s="5" t="n">
        <v>75</v>
      </c>
      <c r="F405" s="4" t="n">
        <v>191.2</v>
      </c>
      <c r="G405" s="5">
        <f>E405*F405</f>
        <v/>
      </c>
      <c r="H405" s="5">
        <f>G405*0.35</f>
        <v/>
      </c>
      <c r="I405" s="5">
        <f>(G405+H405)*0.05</f>
        <v/>
      </c>
      <c r="J405" s="5">
        <f>(G405+H405+I405)*0.03</f>
        <v/>
      </c>
      <c r="K405" s="5">
        <f>G405+H405+I405+J405</f>
        <v/>
      </c>
      <c r="L405" s="5">
        <f>K405*0.08</f>
        <v/>
      </c>
      <c r="M405" s="5">
        <f>K405+L405</f>
        <v/>
      </c>
      <c r="N405" s="4" t="n">
        <v>38.24</v>
      </c>
      <c r="O405" s="5">
        <f>(E405*N405)*1.35*1.05*1.03*1.08</f>
        <v/>
      </c>
      <c r="P405" s="4" t="n">
        <v>38.24</v>
      </c>
      <c r="Q405" s="5">
        <f>(E405*P405)*1.35*1.05*1.03*1.08</f>
        <v/>
      </c>
      <c r="R405" s="4" t="n">
        <v>38.24</v>
      </c>
      <c r="S405" s="5">
        <f>(E405*R405)*1.35*1.05*1.03*1.08</f>
        <v/>
      </c>
      <c r="T405" s="4" t="n">
        <v>38.24</v>
      </c>
      <c r="U405" s="5">
        <f>(E405*T405)*1.35*1.05*1.03*1.08</f>
        <v/>
      </c>
      <c r="V405" s="4">
        <f>F405+N405+P405+R405+T405</f>
        <v/>
      </c>
      <c r="W405" s="5">
        <f>M405+O405+Q405+S405+U405</f>
        <v/>
      </c>
    </row>
    <row r="406">
      <c r="A406" t="inlineStr">
        <is>
          <t>Navy Dare</t>
        </is>
      </c>
      <c r="B406" t="inlineStr">
        <is>
          <t>Quality Assurance/Safety Evaluator</t>
        </is>
      </c>
      <c r="C406" t="inlineStr">
        <is>
          <t>Non-SCA</t>
        </is>
      </c>
      <c r="D406" t="inlineStr">
        <is>
          <t>Exempt</t>
        </is>
      </c>
      <c r="E406" s="5" t="n">
        <v>75</v>
      </c>
      <c r="F406" s="4" t="n">
        <v>191.2</v>
      </c>
      <c r="G406" s="5">
        <f>E406*F406</f>
        <v/>
      </c>
      <c r="H406" s="5">
        <f>G406*0.35</f>
        <v/>
      </c>
      <c r="I406" s="5">
        <f>(G406+H406)*0.05</f>
        <v/>
      </c>
      <c r="J406" s="5">
        <f>(G406+H406+I406)*0.03</f>
        <v/>
      </c>
      <c r="K406" s="5">
        <f>G406+H406+I406+J406</f>
        <v/>
      </c>
      <c r="L406" s="5">
        <f>K406*0.08</f>
        <v/>
      </c>
      <c r="M406" s="5">
        <f>K406+L406</f>
        <v/>
      </c>
      <c r="N406" s="4" t="n">
        <v>38.24</v>
      </c>
      <c r="O406" s="5">
        <f>(E406*N406)*1.35*1.05*1.03*1.08</f>
        <v/>
      </c>
      <c r="P406" s="4" t="n">
        <v>38.24</v>
      </c>
      <c r="Q406" s="5">
        <f>(E406*P406)*1.35*1.05*1.03*1.08</f>
        <v/>
      </c>
      <c r="R406" s="4" t="n">
        <v>38.24</v>
      </c>
      <c r="S406" s="5">
        <f>(E406*R406)*1.35*1.05*1.03*1.08</f>
        <v/>
      </c>
      <c r="T406" s="4" t="n">
        <v>38.24</v>
      </c>
      <c r="U406" s="5">
        <f>(E406*T406)*1.35*1.05*1.03*1.08</f>
        <v/>
      </c>
      <c r="V406" s="4">
        <f>F406+N406+P406+R406+T406</f>
        <v/>
      </c>
      <c r="W406" s="5">
        <f>M406+O406+Q406+S406+U406</f>
        <v/>
      </c>
    </row>
    <row r="407">
      <c r="A407" t="inlineStr">
        <is>
          <t>Pinecastle</t>
        </is>
      </c>
      <c r="B407" t="inlineStr">
        <is>
          <t>Site Manager</t>
        </is>
      </c>
      <c r="C407" t="inlineStr">
        <is>
          <t>Non-SCA</t>
        </is>
      </c>
      <c r="D407" t="inlineStr">
        <is>
          <t>Exempt</t>
        </is>
      </c>
      <c r="E407" s="5" t="n">
        <v>95</v>
      </c>
      <c r="F407" s="4" t="n">
        <v>191.2</v>
      </c>
      <c r="G407" s="5">
        <f>E407*F407</f>
        <v/>
      </c>
      <c r="H407" s="5">
        <f>G407*0.35</f>
        <v/>
      </c>
      <c r="I407" s="5">
        <f>(G407+H407)*0.05</f>
        <v/>
      </c>
      <c r="J407" s="5">
        <f>(G407+H407+I407)*0.03</f>
        <v/>
      </c>
      <c r="K407" s="5">
        <f>G407+H407+I407+J407</f>
        <v/>
      </c>
      <c r="L407" s="5">
        <f>K407*0.08</f>
        <v/>
      </c>
      <c r="M407" s="5">
        <f>K407+L407</f>
        <v/>
      </c>
      <c r="N407" s="4" t="n">
        <v>38.24</v>
      </c>
      <c r="O407" s="5">
        <f>(E407*N407)*1.35*1.05*1.03*1.08</f>
        <v/>
      </c>
      <c r="P407" s="4" t="n">
        <v>38.24</v>
      </c>
      <c r="Q407" s="5">
        <f>(E407*P407)*1.35*1.05*1.03*1.08</f>
        <v/>
      </c>
      <c r="R407" s="4" t="n">
        <v>38.24</v>
      </c>
      <c r="S407" s="5">
        <f>(E407*R407)*1.35*1.05*1.03*1.08</f>
        <v/>
      </c>
      <c r="T407" s="4" t="n">
        <v>38.24</v>
      </c>
      <c r="U407" s="5">
        <f>(E407*T407)*1.35*1.05*1.03*1.08</f>
        <v/>
      </c>
      <c r="V407" s="4">
        <f>F407+N407+P407+R407+T407</f>
        <v/>
      </c>
      <c r="W407" s="5">
        <f>M407+O407+Q407+S407+U407</f>
        <v/>
      </c>
    </row>
    <row r="408">
      <c r="A408" t="inlineStr">
        <is>
          <t>Pinecastle</t>
        </is>
      </c>
      <c r="B408" t="inlineStr">
        <is>
          <t>Technical Lead</t>
        </is>
      </c>
      <c r="C408" t="inlineStr">
        <is>
          <t>Non-SCA</t>
        </is>
      </c>
      <c r="D408" t="inlineStr">
        <is>
          <t>Exempt</t>
        </is>
      </c>
      <c r="E408" s="5" t="n">
        <v>80</v>
      </c>
      <c r="F408" s="4" t="n">
        <v>191.2</v>
      </c>
      <c r="G408" s="5">
        <f>E408*F408</f>
        <v/>
      </c>
      <c r="H408" s="5">
        <f>G408*0.35</f>
        <v/>
      </c>
      <c r="I408" s="5">
        <f>(G408+H408)*0.05</f>
        <v/>
      </c>
      <c r="J408" s="5">
        <f>(G408+H408+I408)*0.03</f>
        <v/>
      </c>
      <c r="K408" s="5">
        <f>G408+H408+I408+J408</f>
        <v/>
      </c>
      <c r="L408" s="5">
        <f>K408*0.08</f>
        <v/>
      </c>
      <c r="M408" s="5">
        <f>K408+L408</f>
        <v/>
      </c>
      <c r="N408" s="4" t="n">
        <v>38.24</v>
      </c>
      <c r="O408" s="5">
        <f>(E408*N408)*1.35*1.05*1.03*1.08</f>
        <v/>
      </c>
      <c r="P408" s="4" t="n">
        <v>38.24</v>
      </c>
      <c r="Q408" s="5">
        <f>(E408*P408)*1.35*1.05*1.03*1.08</f>
        <v/>
      </c>
      <c r="R408" s="4" t="n">
        <v>38.24</v>
      </c>
      <c r="S408" s="5">
        <f>(E408*R408)*1.35*1.05*1.03*1.08</f>
        <v/>
      </c>
      <c r="T408" s="4" t="n">
        <v>38.24</v>
      </c>
      <c r="U408" s="5">
        <f>(E408*T408)*1.35*1.05*1.03*1.08</f>
        <v/>
      </c>
      <c r="V408" s="4">
        <f>F408+N408+P408+R408+T408</f>
        <v/>
      </c>
      <c r="W408" s="5">
        <f>M408+O408+Q408+S408+U408</f>
        <v/>
      </c>
    </row>
    <row r="409">
      <c r="A409" t="inlineStr">
        <is>
          <t>Pinecastle</t>
        </is>
      </c>
      <c r="B409" t="inlineStr">
        <is>
          <t>Mission Coordinator, Senior</t>
        </is>
      </c>
      <c r="C409" t="inlineStr">
        <is>
          <t>Non-SCA</t>
        </is>
      </c>
      <c r="D409" t="inlineStr">
        <is>
          <t>Exempt</t>
        </is>
      </c>
      <c r="E409" s="5" t="n">
        <v>95</v>
      </c>
      <c r="F409" s="4" t="n">
        <v>191.2</v>
      </c>
      <c r="G409" s="5">
        <f>E409*F409</f>
        <v/>
      </c>
      <c r="H409" s="5">
        <f>G409*0.35</f>
        <v/>
      </c>
      <c r="I409" s="5">
        <f>(G409+H409)*0.05</f>
        <v/>
      </c>
      <c r="J409" s="5">
        <f>(G409+H409+I409)*0.03</f>
        <v/>
      </c>
      <c r="K409" s="5">
        <f>G409+H409+I409+J409</f>
        <v/>
      </c>
      <c r="L409" s="5">
        <f>K409*0.08</f>
        <v/>
      </c>
      <c r="M409" s="5">
        <f>K409+L409</f>
        <v/>
      </c>
      <c r="N409" s="4" t="n">
        <v>38.24</v>
      </c>
      <c r="O409" s="5">
        <f>(E409*N409)*1.35*1.05*1.03*1.08</f>
        <v/>
      </c>
      <c r="P409" s="4" t="n">
        <v>38.24</v>
      </c>
      <c r="Q409" s="5">
        <f>(E409*P409)*1.35*1.05*1.03*1.08</f>
        <v/>
      </c>
      <c r="R409" s="4" t="n">
        <v>38.24</v>
      </c>
      <c r="S409" s="5">
        <f>(E409*R409)*1.35*1.05*1.03*1.08</f>
        <v/>
      </c>
      <c r="T409" s="4" t="n">
        <v>38.24</v>
      </c>
      <c r="U409" s="5">
        <f>(E409*T409)*1.35*1.05*1.03*1.08</f>
        <v/>
      </c>
      <c r="V409" s="4">
        <f>F409+N409+P409+R409+T409</f>
        <v/>
      </c>
      <c r="W409" s="5">
        <f>M409+O409+Q409+S409+U409</f>
        <v/>
      </c>
    </row>
    <row r="410">
      <c r="A410" t="inlineStr">
        <is>
          <t>Pinecastle</t>
        </is>
      </c>
      <c r="B410" t="inlineStr">
        <is>
          <t>Technical Support Specialist</t>
        </is>
      </c>
      <c r="C410" t="inlineStr">
        <is>
          <t>Non-SCA</t>
        </is>
      </c>
      <c r="D410" t="inlineStr">
        <is>
          <t>Exempt</t>
        </is>
      </c>
      <c r="E410" s="5" t="n">
        <v>80</v>
      </c>
      <c r="F410" s="4" t="n">
        <v>956</v>
      </c>
      <c r="G410" s="5">
        <f>E410*F410</f>
        <v/>
      </c>
      <c r="H410" s="5">
        <f>G410*0.35</f>
        <v/>
      </c>
      <c r="I410" s="5">
        <f>(G410+H410)*0.05</f>
        <v/>
      </c>
      <c r="J410" s="5">
        <f>(G410+H410+I410)*0.03</f>
        <v/>
      </c>
      <c r="K410" s="5">
        <f>G410+H410+I410+J410</f>
        <v/>
      </c>
      <c r="L410" s="5">
        <f>K410*0.08</f>
        <v/>
      </c>
      <c r="M410" s="5">
        <f>K410+L410</f>
        <v/>
      </c>
      <c r="N410" s="4" t="n">
        <v>191.2</v>
      </c>
      <c r="O410" s="5">
        <f>(E410*N410)*1.35*1.05*1.03*1.08</f>
        <v/>
      </c>
      <c r="P410" s="4" t="n">
        <v>191.2</v>
      </c>
      <c r="Q410" s="5">
        <f>(E410*P410)*1.35*1.05*1.03*1.08</f>
        <v/>
      </c>
      <c r="R410" s="4" t="n">
        <v>191.2</v>
      </c>
      <c r="S410" s="5">
        <f>(E410*R410)*1.35*1.05*1.03*1.08</f>
        <v/>
      </c>
      <c r="T410" s="4" t="n">
        <v>191.2</v>
      </c>
      <c r="U410" s="5">
        <f>(E410*T410)*1.35*1.05*1.03*1.08</f>
        <v/>
      </c>
      <c r="V410" s="4">
        <f>F410+N410+P410+R410+T410</f>
        <v/>
      </c>
      <c r="W410" s="5">
        <f>M410+O410+Q410+S410+U410</f>
        <v/>
      </c>
    </row>
    <row r="411">
      <c r="A411" t="inlineStr">
        <is>
          <t>Pinecastle</t>
        </is>
      </c>
      <c r="B411" t="inlineStr">
        <is>
          <t>Electronics Technician III</t>
        </is>
      </c>
      <c r="C411" t="inlineStr">
        <is>
          <t>SCA</t>
        </is>
      </c>
      <c r="D411" t="inlineStr">
        <is>
          <t>SCLS</t>
        </is>
      </c>
      <c r="E411" s="5" t="n">
        <v>29.8</v>
      </c>
      <c r="F411" s="4" t="n">
        <v>1338.4</v>
      </c>
      <c r="G411" s="5">
        <f>E411*F411</f>
        <v/>
      </c>
      <c r="H411" s="5">
        <f>G411*0.35</f>
        <v/>
      </c>
      <c r="I411" s="5">
        <f>(G411+H411)*0.05</f>
        <v/>
      </c>
      <c r="J411" s="5">
        <f>(G411+H411+I411)*0.03</f>
        <v/>
      </c>
      <c r="K411" s="5">
        <f>G411+H411+I411+J411</f>
        <v/>
      </c>
      <c r="L411" s="5">
        <f>K411*0.08</f>
        <v/>
      </c>
      <c r="M411" s="5">
        <f>K411+L411</f>
        <v/>
      </c>
      <c r="N411" s="4" t="n">
        <v>267.68</v>
      </c>
      <c r="O411" s="5">
        <f>(E411*N411)*1.35*1.05*1.03*1.08</f>
        <v/>
      </c>
      <c r="P411" s="4" t="n">
        <v>267.68</v>
      </c>
      <c r="Q411" s="5">
        <f>(E411*P411)*1.35*1.05*1.03*1.08</f>
        <v/>
      </c>
      <c r="R411" s="4" t="n">
        <v>267.68</v>
      </c>
      <c r="S411" s="5">
        <f>(E411*R411)*1.35*1.05*1.03*1.08</f>
        <v/>
      </c>
      <c r="T411" s="4" t="n">
        <v>267.68</v>
      </c>
      <c r="U411" s="5">
        <f>(E411*T411)*1.35*1.05*1.03*1.08</f>
        <v/>
      </c>
      <c r="V411" s="4">
        <f>F411+N411+P411+R411+T411</f>
        <v/>
      </c>
      <c r="W411" s="5">
        <f>M411+O411+Q411+S411+U411</f>
        <v/>
      </c>
    </row>
    <row r="412">
      <c r="A412" t="inlineStr">
        <is>
          <t>Pinecastle</t>
        </is>
      </c>
      <c r="B412" t="inlineStr">
        <is>
          <t>Logistician Analyst IV</t>
        </is>
      </c>
      <c r="C412" t="inlineStr">
        <is>
          <t>Non-SCA</t>
        </is>
      </c>
      <c r="D412" t="inlineStr">
        <is>
          <t>Exempt</t>
        </is>
      </c>
      <c r="E412" s="5" t="n">
        <v>75</v>
      </c>
      <c r="F412" s="4" t="n">
        <v>191.2</v>
      </c>
      <c r="G412" s="5">
        <f>E412*F412</f>
        <v/>
      </c>
      <c r="H412" s="5">
        <f>G412*0.35</f>
        <v/>
      </c>
      <c r="I412" s="5">
        <f>(G412+H412)*0.05</f>
        <v/>
      </c>
      <c r="J412" s="5">
        <f>(G412+H412+I412)*0.03</f>
        <v/>
      </c>
      <c r="K412" s="5">
        <f>G412+H412+I412+J412</f>
        <v/>
      </c>
      <c r="L412" s="5">
        <f>K412*0.08</f>
        <v/>
      </c>
      <c r="M412" s="5">
        <f>K412+L412</f>
        <v/>
      </c>
      <c r="N412" s="4" t="n">
        <v>38.24</v>
      </c>
      <c r="O412" s="5">
        <f>(E412*N412)*1.35*1.05*1.03*1.08</f>
        <v/>
      </c>
      <c r="P412" s="4" t="n">
        <v>38.24</v>
      </c>
      <c r="Q412" s="5">
        <f>(E412*P412)*1.35*1.05*1.03*1.08</f>
        <v/>
      </c>
      <c r="R412" s="4" t="n">
        <v>38.24</v>
      </c>
      <c r="S412" s="5">
        <f>(E412*R412)*1.35*1.05*1.03*1.08</f>
        <v/>
      </c>
      <c r="T412" s="4" t="n">
        <v>38.24</v>
      </c>
      <c r="U412" s="5">
        <f>(E412*T412)*1.35*1.05*1.03*1.08</f>
        <v/>
      </c>
      <c r="V412" s="4">
        <f>F412+N412+P412+R412+T412</f>
        <v/>
      </c>
      <c r="W412" s="5">
        <f>M412+O412+Q412+S412+U412</f>
        <v/>
      </c>
    </row>
    <row r="413">
      <c r="A413" t="inlineStr">
        <is>
          <t>Pinecastle</t>
        </is>
      </c>
      <c r="B413" t="inlineStr">
        <is>
          <t>Quality Assurance/Safety Evaluator</t>
        </is>
      </c>
      <c r="C413" t="inlineStr">
        <is>
          <t>Non-SCA</t>
        </is>
      </c>
      <c r="D413" t="inlineStr">
        <is>
          <t>Exempt</t>
        </is>
      </c>
      <c r="E413" s="5" t="n">
        <v>75</v>
      </c>
      <c r="F413" s="4" t="n">
        <v>191.2</v>
      </c>
      <c r="G413" s="5">
        <f>E413*F413</f>
        <v/>
      </c>
      <c r="H413" s="5">
        <f>G413*0.35</f>
        <v/>
      </c>
      <c r="I413" s="5">
        <f>(G413+H413)*0.05</f>
        <v/>
      </c>
      <c r="J413" s="5">
        <f>(G413+H413+I413)*0.03</f>
        <v/>
      </c>
      <c r="K413" s="5">
        <f>G413+H413+I413+J413</f>
        <v/>
      </c>
      <c r="L413" s="5">
        <f>K413*0.08</f>
        <v/>
      </c>
      <c r="M413" s="5">
        <f>K413+L413</f>
        <v/>
      </c>
      <c r="N413" s="4" t="n">
        <v>38.24</v>
      </c>
      <c r="O413" s="5">
        <f>(E413*N413)*1.35*1.05*1.03*1.08</f>
        <v/>
      </c>
      <c r="P413" s="4" t="n">
        <v>38.24</v>
      </c>
      <c r="Q413" s="5">
        <f>(E413*P413)*1.35*1.05*1.03*1.08</f>
        <v/>
      </c>
      <c r="R413" s="4" t="n">
        <v>38.24</v>
      </c>
      <c r="S413" s="5">
        <f>(E413*R413)*1.35*1.05*1.03*1.08</f>
        <v/>
      </c>
      <c r="T413" s="4" t="n">
        <v>38.24</v>
      </c>
      <c r="U413" s="5">
        <f>(E413*T413)*1.35*1.05*1.03*1.08</f>
        <v/>
      </c>
      <c r="V413" s="4">
        <f>F413+N413+P413+R413+T413</f>
        <v/>
      </c>
      <c r="W413" s="5">
        <f>M413+O413+Q413+S413+U413</f>
        <v/>
      </c>
    </row>
    <row r="414">
      <c r="A414" t="inlineStr">
        <is>
          <t>Pinecastle</t>
        </is>
      </c>
      <c r="B414" t="inlineStr">
        <is>
          <t>Quality Control</t>
        </is>
      </c>
      <c r="C414" t="inlineStr">
        <is>
          <t>Non-SCA</t>
        </is>
      </c>
      <c r="D414" t="inlineStr">
        <is>
          <t>Exempt</t>
        </is>
      </c>
      <c r="E414" s="5" t="n">
        <v>80</v>
      </c>
      <c r="F414" s="4" t="n">
        <v>191.2</v>
      </c>
      <c r="G414" s="5">
        <f>E414*F414</f>
        <v/>
      </c>
      <c r="H414" s="5">
        <f>G414*0.35</f>
        <v/>
      </c>
      <c r="I414" s="5">
        <f>(G414+H414)*0.05</f>
        <v/>
      </c>
      <c r="J414" s="5">
        <f>(G414+H414+I414)*0.03</f>
        <v/>
      </c>
      <c r="K414" s="5">
        <f>G414+H414+I414+J414</f>
        <v/>
      </c>
      <c r="L414" s="5">
        <f>K414*0.08</f>
        <v/>
      </c>
      <c r="M414" s="5">
        <f>K414+L414</f>
        <v/>
      </c>
      <c r="N414" s="4" t="n">
        <v>38.24</v>
      </c>
      <c r="O414" s="5">
        <f>(E414*N414)*1.35*1.05*1.03*1.08</f>
        <v/>
      </c>
      <c r="P414" s="4" t="n">
        <v>38.24</v>
      </c>
      <c r="Q414" s="5">
        <f>(E414*P414)*1.35*1.05*1.03*1.08</f>
        <v/>
      </c>
      <c r="R414" s="4" t="n">
        <v>38.24</v>
      </c>
      <c r="S414" s="5">
        <f>(E414*R414)*1.35*1.05*1.03*1.08</f>
        <v/>
      </c>
      <c r="T414" s="4" t="n">
        <v>38.24</v>
      </c>
      <c r="U414" s="5">
        <f>(E414*T414)*1.35*1.05*1.03*1.08</f>
        <v/>
      </c>
      <c r="V414" s="4">
        <f>F414+N414+P414+R414+T414</f>
        <v/>
      </c>
      <c r="W414" s="5">
        <f>M414+O414+Q414+S414+U414</f>
        <v/>
      </c>
    </row>
    <row r="415">
      <c r="A415" t="inlineStr">
        <is>
          <t>Key West</t>
        </is>
      </c>
      <c r="B415" t="inlineStr">
        <is>
          <t>Site Manager</t>
        </is>
      </c>
      <c r="C415" t="inlineStr">
        <is>
          <t>Non-SCA</t>
        </is>
      </c>
      <c r="D415" t="inlineStr">
        <is>
          <t>Exempt</t>
        </is>
      </c>
      <c r="E415" s="5" t="n">
        <v>95</v>
      </c>
      <c r="F415" s="4" t="n">
        <v>191.2</v>
      </c>
      <c r="G415" s="5">
        <f>E415*F415</f>
        <v/>
      </c>
      <c r="H415" s="5">
        <f>G415*0.35</f>
        <v/>
      </c>
      <c r="I415" s="5">
        <f>(G415+H415)*0.05</f>
        <v/>
      </c>
      <c r="J415" s="5">
        <f>(G415+H415+I415)*0.03</f>
        <v/>
      </c>
      <c r="K415" s="5">
        <f>G415+H415+I415+J415</f>
        <v/>
      </c>
      <c r="L415" s="5">
        <f>K415*0.08</f>
        <v/>
      </c>
      <c r="M415" s="5">
        <f>K415+L415</f>
        <v/>
      </c>
      <c r="N415" s="4" t="n">
        <v>38.24</v>
      </c>
      <c r="O415" s="5">
        <f>(E415*N415)*1.35*1.05*1.03*1.08</f>
        <v/>
      </c>
      <c r="P415" s="4" t="n">
        <v>38.24</v>
      </c>
      <c r="Q415" s="5">
        <f>(E415*P415)*1.35*1.05*1.03*1.08</f>
        <v/>
      </c>
      <c r="R415" s="4" t="n">
        <v>38.24</v>
      </c>
      <c r="S415" s="5">
        <f>(E415*R415)*1.35*1.05*1.03*1.08</f>
        <v/>
      </c>
      <c r="T415" s="4" t="n">
        <v>38.24</v>
      </c>
      <c r="U415" s="5">
        <f>(E415*T415)*1.35*1.05*1.03*1.08</f>
        <v/>
      </c>
      <c r="V415" s="4">
        <f>F415+N415+P415+R415+T415</f>
        <v/>
      </c>
      <c r="W415" s="5">
        <f>M415+O415+Q415+S415+U415</f>
        <v/>
      </c>
    </row>
    <row r="416">
      <c r="A416" t="inlineStr">
        <is>
          <t>Key West</t>
        </is>
      </c>
      <c r="B416" t="inlineStr">
        <is>
          <t>Mission Coordinator</t>
        </is>
      </c>
      <c r="C416" t="inlineStr">
        <is>
          <t>Non-SCA</t>
        </is>
      </c>
      <c r="D416" t="inlineStr">
        <is>
          <t>Exempt</t>
        </is>
      </c>
      <c r="E416" s="5" t="n">
        <v>85</v>
      </c>
      <c r="F416" s="4" t="n">
        <v>191.2</v>
      </c>
      <c r="G416" s="5">
        <f>E416*F416</f>
        <v/>
      </c>
      <c r="H416" s="5">
        <f>G416*0.35</f>
        <v/>
      </c>
      <c r="I416" s="5">
        <f>(G416+H416)*0.05</f>
        <v/>
      </c>
      <c r="J416" s="5">
        <f>(G416+H416+I416)*0.03</f>
        <v/>
      </c>
      <c r="K416" s="5">
        <f>G416+H416+I416+J416</f>
        <v/>
      </c>
      <c r="L416" s="5">
        <f>K416*0.08</f>
        <v/>
      </c>
      <c r="M416" s="5">
        <f>K416+L416</f>
        <v/>
      </c>
      <c r="N416" s="4" t="n">
        <v>38.24</v>
      </c>
      <c r="O416" s="5">
        <f>(E416*N416)*1.35*1.05*1.03*1.08</f>
        <v/>
      </c>
      <c r="P416" s="4" t="n">
        <v>38.24</v>
      </c>
      <c r="Q416" s="5">
        <f>(E416*P416)*1.35*1.05*1.03*1.08</f>
        <v/>
      </c>
      <c r="R416" s="4" t="n">
        <v>38.24</v>
      </c>
      <c r="S416" s="5">
        <f>(E416*R416)*1.35*1.05*1.03*1.08</f>
        <v/>
      </c>
      <c r="T416" s="4" t="n">
        <v>38.24</v>
      </c>
      <c r="U416" s="5">
        <f>(E416*T416)*1.35*1.05*1.03*1.08</f>
        <v/>
      </c>
      <c r="V416" s="4">
        <f>F416+N416+P416+R416+T416</f>
        <v/>
      </c>
      <c r="W416" s="5">
        <f>M416+O416+Q416+S416+U416</f>
        <v/>
      </c>
    </row>
    <row r="417">
      <c r="A417" t="inlineStr">
        <is>
          <t>Key West</t>
        </is>
      </c>
      <c r="B417" t="inlineStr">
        <is>
          <t>Mission Coordinator, Senior</t>
        </is>
      </c>
      <c r="C417" t="inlineStr">
        <is>
          <t>Non-SCA</t>
        </is>
      </c>
      <c r="D417" t="inlineStr">
        <is>
          <t>Exempt</t>
        </is>
      </c>
      <c r="E417" s="5" t="n">
        <v>95</v>
      </c>
      <c r="F417" s="4" t="n">
        <v>191.2</v>
      </c>
      <c r="G417" s="5">
        <f>E417*F417</f>
        <v/>
      </c>
      <c r="H417" s="5">
        <f>G417*0.35</f>
        <v/>
      </c>
      <c r="I417" s="5">
        <f>(G417+H417)*0.05</f>
        <v/>
      </c>
      <c r="J417" s="5">
        <f>(G417+H417+I417)*0.03</f>
        <v/>
      </c>
      <c r="K417" s="5">
        <f>G417+H417+I417+J417</f>
        <v/>
      </c>
      <c r="L417" s="5">
        <f>K417*0.08</f>
        <v/>
      </c>
      <c r="M417" s="5">
        <f>K417+L417</f>
        <v/>
      </c>
      <c r="N417" s="4" t="n">
        <v>38.24</v>
      </c>
      <c r="O417" s="5">
        <f>(E417*N417)*1.35*1.05*1.03*1.08</f>
        <v/>
      </c>
      <c r="P417" s="4" t="n">
        <v>38.24</v>
      </c>
      <c r="Q417" s="5">
        <f>(E417*P417)*1.35*1.05*1.03*1.08</f>
        <v/>
      </c>
      <c r="R417" s="4" t="n">
        <v>38.24</v>
      </c>
      <c r="S417" s="5">
        <f>(E417*R417)*1.35*1.05*1.03*1.08</f>
        <v/>
      </c>
      <c r="T417" s="4" t="n">
        <v>38.24</v>
      </c>
      <c r="U417" s="5">
        <f>(E417*T417)*1.35*1.05*1.03*1.08</f>
        <v/>
      </c>
      <c r="V417" s="4">
        <f>F417+N417+P417+R417+T417</f>
        <v/>
      </c>
      <c r="W417" s="5">
        <f>M417+O417+Q417+S417+U417</f>
        <v/>
      </c>
    </row>
    <row r="418">
      <c r="A418" t="inlineStr">
        <is>
          <t>Key West</t>
        </is>
      </c>
      <c r="B418" t="inlineStr">
        <is>
          <t>Computer Operator IV</t>
        </is>
      </c>
      <c r="C418" t="inlineStr">
        <is>
          <t>SCA</t>
        </is>
      </c>
      <c r="D418" t="inlineStr">
        <is>
          <t>CBA</t>
        </is>
      </c>
      <c r="E418" s="5" t="n">
        <v>33.31</v>
      </c>
      <c r="F418" s="4" t="n">
        <v>382.4</v>
      </c>
      <c r="G418" s="5">
        <f>E418*F418</f>
        <v/>
      </c>
      <c r="H418" s="5">
        <f>G418*0.35</f>
        <v/>
      </c>
      <c r="I418" s="5">
        <f>(G418+H418)*0.05</f>
        <v/>
      </c>
      <c r="J418" s="5">
        <f>(G418+H418+I418)*0.03</f>
        <v/>
      </c>
      <c r="K418" s="5">
        <f>G418+H418+I418+J418</f>
        <v/>
      </c>
      <c r="L418" s="5">
        <f>K418*0.08</f>
        <v/>
      </c>
      <c r="M418" s="5">
        <f>K418+L418</f>
        <v/>
      </c>
      <c r="N418" s="4" t="n">
        <v>76.48</v>
      </c>
      <c r="O418" s="5">
        <f>(E418*N418)*1.35*1.05*1.03*1.08</f>
        <v/>
      </c>
      <c r="P418" s="4" t="n">
        <v>76.48</v>
      </c>
      <c r="Q418" s="5">
        <f>(E418*P418)*1.35*1.05*1.03*1.08</f>
        <v/>
      </c>
      <c r="R418" s="4" t="n">
        <v>76.48</v>
      </c>
      <c r="S418" s="5">
        <f>(E418*R418)*1.35*1.05*1.03*1.08</f>
        <v/>
      </c>
      <c r="T418" s="4" t="n">
        <v>76.48</v>
      </c>
      <c r="U418" s="5">
        <f>(E418*T418)*1.35*1.05*1.03*1.08</f>
        <v/>
      </c>
      <c r="V418" s="4">
        <f>F418+N418+P418+R418+T418</f>
        <v/>
      </c>
      <c r="W418" s="5">
        <f>M418+O418+Q418+S418+U418</f>
        <v/>
      </c>
    </row>
    <row r="419">
      <c r="A419" t="inlineStr">
        <is>
          <t>Key West</t>
        </is>
      </c>
      <c r="B419" t="inlineStr">
        <is>
          <t>Computer Operator V</t>
        </is>
      </c>
      <c r="C419" t="inlineStr">
        <is>
          <t>SCA</t>
        </is>
      </c>
      <c r="D419" t="inlineStr">
        <is>
          <t>SCLS</t>
        </is>
      </c>
      <c r="E419" s="5" t="n">
        <v>36.88</v>
      </c>
      <c r="F419" s="4" t="n">
        <v>382.4</v>
      </c>
      <c r="G419" s="5">
        <f>E419*F419</f>
        <v/>
      </c>
      <c r="H419" s="5">
        <f>G419*0.35</f>
        <v/>
      </c>
      <c r="I419" s="5">
        <f>(G419+H419)*0.05</f>
        <v/>
      </c>
      <c r="J419" s="5">
        <f>(G419+H419+I419)*0.03</f>
        <v/>
      </c>
      <c r="K419" s="5">
        <f>G419+H419+I419+J419</f>
        <v/>
      </c>
      <c r="L419" s="5">
        <f>K419*0.08</f>
        <v/>
      </c>
      <c r="M419" s="5">
        <f>K419+L419</f>
        <v/>
      </c>
      <c r="N419" s="4" t="n">
        <v>76.48</v>
      </c>
      <c r="O419" s="5">
        <f>(E419*N419)*1.35*1.05*1.03*1.08</f>
        <v/>
      </c>
      <c r="P419" s="4" t="n">
        <v>76.48</v>
      </c>
      <c r="Q419" s="5">
        <f>(E419*P419)*1.35*1.05*1.03*1.08</f>
        <v/>
      </c>
      <c r="R419" s="4" t="n">
        <v>76.48</v>
      </c>
      <c r="S419" s="5">
        <f>(E419*R419)*1.35*1.05*1.03*1.08</f>
        <v/>
      </c>
      <c r="T419" s="4" t="n">
        <v>76.48</v>
      </c>
      <c r="U419" s="5">
        <f>(E419*T419)*1.35*1.05*1.03*1.08</f>
        <v/>
      </c>
      <c r="V419" s="4">
        <f>F419+N419+P419+R419+T419</f>
        <v/>
      </c>
      <c r="W419" s="5">
        <f>M419+O419+Q419+S419+U419</f>
        <v/>
      </c>
    </row>
    <row r="420">
      <c r="A420" t="inlineStr">
        <is>
          <t>Key West</t>
        </is>
      </c>
      <c r="B420" t="inlineStr">
        <is>
          <t>Tactical Data Link Analyst</t>
        </is>
      </c>
      <c r="C420" t="inlineStr">
        <is>
          <t>Non-SCA</t>
        </is>
      </c>
      <c r="D420" t="inlineStr">
        <is>
          <t>Exempt</t>
        </is>
      </c>
      <c r="E420" s="5" t="n">
        <v>75</v>
      </c>
      <c r="F420" s="4" t="n">
        <v>382.4</v>
      </c>
      <c r="G420" s="5">
        <f>E420*F420</f>
        <v/>
      </c>
      <c r="H420" s="5">
        <f>G420*0.35</f>
        <v/>
      </c>
      <c r="I420" s="5">
        <f>(G420+H420)*0.05</f>
        <v/>
      </c>
      <c r="J420" s="5">
        <f>(G420+H420+I420)*0.03</f>
        <v/>
      </c>
      <c r="K420" s="5">
        <f>G420+H420+I420+J420</f>
        <v/>
      </c>
      <c r="L420" s="5">
        <f>K420*0.08</f>
        <v/>
      </c>
      <c r="M420" s="5">
        <f>K420+L420</f>
        <v/>
      </c>
      <c r="N420" s="4" t="n">
        <v>76.48</v>
      </c>
      <c r="O420" s="5">
        <f>(E420*N420)*1.35*1.05*1.03*1.08</f>
        <v/>
      </c>
      <c r="P420" s="4" t="n">
        <v>76.48</v>
      </c>
      <c r="Q420" s="5">
        <f>(E420*P420)*1.35*1.05*1.03*1.08</f>
        <v/>
      </c>
      <c r="R420" s="4" t="n">
        <v>76.48</v>
      </c>
      <c r="S420" s="5">
        <f>(E420*R420)*1.35*1.05*1.03*1.08</f>
        <v/>
      </c>
      <c r="T420" s="4" t="n">
        <v>76.48</v>
      </c>
      <c r="U420" s="5">
        <f>(E420*T420)*1.35*1.05*1.03*1.08</f>
        <v/>
      </c>
      <c r="V420" s="4">
        <f>F420+N420+P420+R420+T420</f>
        <v/>
      </c>
      <c r="W420" s="5">
        <f>M420+O420+Q420+S420+U420</f>
        <v/>
      </c>
    </row>
    <row r="421">
      <c r="A421" t="inlineStr">
        <is>
          <t>Key West</t>
        </is>
      </c>
      <c r="B421" t="inlineStr">
        <is>
          <t>Engineering Technician IV</t>
        </is>
      </c>
      <c r="C421" t="inlineStr">
        <is>
          <t>SCA</t>
        </is>
      </c>
      <c r="D421" t="inlineStr">
        <is>
          <t>SCLS</t>
        </is>
      </c>
      <c r="E421" s="5" t="n">
        <v>28.52</v>
      </c>
      <c r="F421" s="4" t="n">
        <v>573.6</v>
      </c>
      <c r="G421" s="5">
        <f>E421*F421</f>
        <v/>
      </c>
      <c r="H421" s="5">
        <f>G421*0.35</f>
        <v/>
      </c>
      <c r="I421" s="5">
        <f>(G421+H421)*0.05</f>
        <v/>
      </c>
      <c r="J421" s="5">
        <f>(G421+H421+I421)*0.03</f>
        <v/>
      </c>
      <c r="K421" s="5">
        <f>G421+H421+I421+J421</f>
        <v/>
      </c>
      <c r="L421" s="5">
        <f>K421*0.08</f>
        <v/>
      </c>
      <c r="M421" s="5">
        <f>K421+L421</f>
        <v/>
      </c>
      <c r="N421" s="4" t="n">
        <v>114.72</v>
      </c>
      <c r="O421" s="5">
        <f>(E421*N421)*1.35*1.05*1.03*1.08</f>
        <v/>
      </c>
      <c r="P421" s="4" t="n">
        <v>114.72</v>
      </c>
      <c r="Q421" s="5">
        <f>(E421*P421)*1.35*1.05*1.03*1.08</f>
        <v/>
      </c>
      <c r="R421" s="4" t="n">
        <v>114.72</v>
      </c>
      <c r="S421" s="5">
        <f>(E421*R421)*1.35*1.05*1.03*1.08</f>
        <v/>
      </c>
      <c r="T421" s="4" t="n">
        <v>114.72</v>
      </c>
      <c r="U421" s="5">
        <f>(E421*T421)*1.35*1.05*1.03*1.08</f>
        <v/>
      </c>
      <c r="V421" s="4">
        <f>F421+N421+P421+R421+T421</f>
        <v/>
      </c>
      <c r="W421" s="5">
        <f>M421+O421+Q421+S421+U421</f>
        <v/>
      </c>
    </row>
    <row r="422">
      <c r="A422" t="inlineStr">
        <is>
          <t>Key West</t>
        </is>
      </c>
      <c r="B422" t="inlineStr">
        <is>
          <t>Engineering Technician V</t>
        </is>
      </c>
      <c r="C422" t="inlineStr">
        <is>
          <t>SCA</t>
        </is>
      </c>
      <c r="D422" t="inlineStr">
        <is>
          <t>CBA</t>
        </is>
      </c>
      <c r="E422" s="5" t="n">
        <v>34.88</v>
      </c>
      <c r="F422" s="4" t="n">
        <v>573.6</v>
      </c>
      <c r="G422" s="5">
        <f>E422*F422</f>
        <v/>
      </c>
      <c r="H422" s="5">
        <f>G422*0.35</f>
        <v/>
      </c>
      <c r="I422" s="5">
        <f>(G422+H422)*0.05</f>
        <v/>
      </c>
      <c r="J422" s="5">
        <f>(G422+H422+I422)*0.03</f>
        <v/>
      </c>
      <c r="K422" s="5">
        <f>G422+H422+I422+J422</f>
        <v/>
      </c>
      <c r="L422" s="5">
        <f>K422*0.08</f>
        <v/>
      </c>
      <c r="M422" s="5">
        <f>K422+L422</f>
        <v/>
      </c>
      <c r="N422" s="4" t="n">
        <v>114.72</v>
      </c>
      <c r="O422" s="5">
        <f>(E422*N422)*1.35*1.05*1.03*1.08</f>
        <v/>
      </c>
      <c r="P422" s="4" t="n">
        <v>114.72</v>
      </c>
      <c r="Q422" s="5">
        <f>(E422*P422)*1.35*1.05*1.03*1.08</f>
        <v/>
      </c>
      <c r="R422" s="4" t="n">
        <v>114.72</v>
      </c>
      <c r="S422" s="5">
        <f>(E422*R422)*1.35*1.05*1.03*1.08</f>
        <v/>
      </c>
      <c r="T422" s="4" t="n">
        <v>114.72</v>
      </c>
      <c r="U422" s="5">
        <f>(E422*T422)*1.35*1.05*1.03*1.08</f>
        <v/>
      </c>
      <c r="V422" s="4">
        <f>F422+N422+P422+R422+T422</f>
        <v/>
      </c>
      <c r="W422" s="5">
        <f>M422+O422+Q422+S422+U422</f>
        <v/>
      </c>
    </row>
    <row r="423">
      <c r="A423" t="inlineStr">
        <is>
          <t>Key West</t>
        </is>
      </c>
      <c r="B423" t="inlineStr">
        <is>
          <t>Logistician Analyst IV</t>
        </is>
      </c>
      <c r="C423" t="inlineStr">
        <is>
          <t>Non-SCA</t>
        </is>
      </c>
      <c r="D423" t="inlineStr">
        <is>
          <t>Exempt</t>
        </is>
      </c>
      <c r="E423" s="5" t="n">
        <v>75</v>
      </c>
      <c r="F423" s="4" t="n">
        <v>191.2</v>
      </c>
      <c r="G423" s="5">
        <f>E423*F423</f>
        <v/>
      </c>
      <c r="H423" s="5">
        <f>G423*0.35</f>
        <v/>
      </c>
      <c r="I423" s="5">
        <f>(G423+H423)*0.05</f>
        <v/>
      </c>
      <c r="J423" s="5">
        <f>(G423+H423+I423)*0.03</f>
        <v/>
      </c>
      <c r="K423" s="5">
        <f>G423+H423+I423+J423</f>
        <v/>
      </c>
      <c r="L423" s="5">
        <f>K423*0.08</f>
        <v/>
      </c>
      <c r="M423" s="5">
        <f>K423+L423</f>
        <v/>
      </c>
      <c r="N423" s="4" t="n">
        <v>38.24</v>
      </c>
      <c r="O423" s="5">
        <f>(E423*N423)*1.35*1.05*1.03*1.08</f>
        <v/>
      </c>
      <c r="P423" s="4" t="n">
        <v>38.24</v>
      </c>
      <c r="Q423" s="5">
        <f>(E423*P423)*1.35*1.05*1.03*1.08</f>
        <v/>
      </c>
      <c r="R423" s="4" t="n">
        <v>38.24</v>
      </c>
      <c r="S423" s="5">
        <f>(E423*R423)*1.35*1.05*1.03*1.08</f>
        <v/>
      </c>
      <c r="T423" s="4" t="n">
        <v>38.24</v>
      </c>
      <c r="U423" s="5">
        <f>(E423*T423)*1.35*1.05*1.03*1.08</f>
        <v/>
      </c>
      <c r="V423" s="4">
        <f>F423+N423+P423+R423+T423</f>
        <v/>
      </c>
      <c r="W423" s="5">
        <f>M423+O423+Q423+S423+U423</f>
        <v/>
      </c>
    </row>
    <row r="424">
      <c r="A424" t="inlineStr">
        <is>
          <t>Key West</t>
        </is>
      </c>
      <c r="B424" t="inlineStr">
        <is>
          <t>Security Coordinator</t>
        </is>
      </c>
      <c r="C424" t="inlineStr">
        <is>
          <t>Non-SCA</t>
        </is>
      </c>
      <c r="D424" t="inlineStr">
        <is>
          <t>Exempt</t>
        </is>
      </c>
      <c r="E424" s="5" t="n">
        <v>70</v>
      </c>
      <c r="F424" s="4" t="n">
        <v>573.6</v>
      </c>
      <c r="G424" s="5">
        <f>E424*F424</f>
        <v/>
      </c>
      <c r="H424" s="5">
        <f>G424*0.35</f>
        <v/>
      </c>
      <c r="I424" s="5">
        <f>(G424+H424)*0.05</f>
        <v/>
      </c>
      <c r="J424" s="5">
        <f>(G424+H424+I424)*0.03</f>
        <v/>
      </c>
      <c r="K424" s="5">
        <f>G424+H424+I424+J424</f>
        <v/>
      </c>
      <c r="L424" s="5">
        <f>K424*0.08</f>
        <v/>
      </c>
      <c r="M424" s="5">
        <f>K424+L424</f>
        <v/>
      </c>
      <c r="N424" s="4" t="n">
        <v>114.72</v>
      </c>
      <c r="O424" s="5">
        <f>(E424*N424)*1.35*1.05*1.03*1.08</f>
        <v/>
      </c>
      <c r="P424" s="4" t="n">
        <v>114.72</v>
      </c>
      <c r="Q424" s="5">
        <f>(E424*P424)*1.35*1.05*1.03*1.08</f>
        <v/>
      </c>
      <c r="R424" s="4" t="n">
        <v>114.72</v>
      </c>
      <c r="S424" s="5">
        <f>(E424*R424)*1.35*1.05*1.03*1.08</f>
        <v/>
      </c>
      <c r="T424" s="4" t="n">
        <v>114.72</v>
      </c>
      <c r="U424" s="5">
        <f>(E424*T424)*1.35*1.05*1.03*1.08</f>
        <v/>
      </c>
      <c r="V424" s="4">
        <f>F424+N424+P424+R424+T424</f>
        <v/>
      </c>
      <c r="W424" s="5">
        <f>M424+O424+Q424+S424+U424</f>
        <v/>
      </c>
    </row>
    <row r="425">
      <c r="A425" t="inlineStr">
        <is>
          <t>Key West</t>
        </is>
      </c>
      <c r="B425" t="inlineStr">
        <is>
          <t>Quality Assurance/Safety Evaluator</t>
        </is>
      </c>
      <c r="C425" t="inlineStr">
        <is>
          <t>Non-SCA</t>
        </is>
      </c>
      <c r="D425" t="inlineStr">
        <is>
          <t>Exempt</t>
        </is>
      </c>
      <c r="E425" s="5" t="n">
        <v>75</v>
      </c>
      <c r="F425" s="4" t="n">
        <v>191.2</v>
      </c>
      <c r="G425" s="5">
        <f>E425*F425</f>
        <v/>
      </c>
      <c r="H425" s="5">
        <f>G425*0.35</f>
        <v/>
      </c>
      <c r="I425" s="5">
        <f>(G425+H425)*0.05</f>
        <v/>
      </c>
      <c r="J425" s="5">
        <f>(G425+H425+I425)*0.03</f>
        <v/>
      </c>
      <c r="K425" s="5">
        <f>G425+H425+I425+J425</f>
        <v/>
      </c>
      <c r="L425" s="5">
        <f>K425*0.08</f>
        <v/>
      </c>
      <c r="M425" s="5">
        <f>K425+L425</f>
        <v/>
      </c>
      <c r="N425" s="4" t="n">
        <v>38.24</v>
      </c>
      <c r="O425" s="5">
        <f>(E425*N425)*1.35*1.05*1.03*1.08</f>
        <v/>
      </c>
      <c r="P425" s="4" t="n">
        <v>38.24</v>
      </c>
      <c r="Q425" s="5">
        <f>(E425*P425)*1.35*1.05*1.03*1.08</f>
        <v/>
      </c>
      <c r="R425" s="4" t="n">
        <v>38.24</v>
      </c>
      <c r="S425" s="5">
        <f>(E425*R425)*1.35*1.05*1.03*1.08</f>
        <v/>
      </c>
      <c r="T425" s="4" t="n">
        <v>38.24</v>
      </c>
      <c r="U425" s="5">
        <f>(E425*T425)*1.35*1.05*1.03*1.08</f>
        <v/>
      </c>
      <c r="V425" s="4">
        <f>F425+N425+P425+R425+T425</f>
        <v/>
      </c>
      <c r="W425" s="5">
        <f>M425+O425+Q425+S425+U425</f>
        <v/>
      </c>
    </row>
    <row r="426">
      <c r="A426" t="inlineStr">
        <is>
          <t>JAX</t>
        </is>
      </c>
      <c r="B426" t="inlineStr">
        <is>
          <t>Site Manager</t>
        </is>
      </c>
      <c r="C426" t="inlineStr">
        <is>
          <t>Non-SCA</t>
        </is>
      </c>
      <c r="D426" t="inlineStr">
        <is>
          <t>Exempt</t>
        </is>
      </c>
      <c r="E426" s="5" t="n">
        <v>95</v>
      </c>
      <c r="F426" s="4" t="n">
        <v>191.2</v>
      </c>
      <c r="G426" s="5">
        <f>E426*F426</f>
        <v/>
      </c>
      <c r="H426" s="5">
        <f>G426*0.35</f>
        <v/>
      </c>
      <c r="I426" s="5">
        <f>(G426+H426)*0.05</f>
        <v/>
      </c>
      <c r="J426" s="5">
        <f>(G426+H426+I426)*0.03</f>
        <v/>
      </c>
      <c r="K426" s="5">
        <f>G426+H426+I426+J426</f>
        <v/>
      </c>
      <c r="L426" s="5">
        <f>K426*0.08</f>
        <v/>
      </c>
      <c r="M426" s="5">
        <f>K426+L426</f>
        <v/>
      </c>
      <c r="N426" s="4" t="n">
        <v>38.24</v>
      </c>
      <c r="O426" s="5">
        <f>(E426*N426)*1.35*1.05*1.03*1.08</f>
        <v/>
      </c>
      <c r="P426" s="4" t="n">
        <v>38.24</v>
      </c>
      <c r="Q426" s="5">
        <f>(E426*P426)*1.35*1.05*1.03*1.08</f>
        <v/>
      </c>
      <c r="R426" s="4" t="n">
        <v>38.24</v>
      </c>
      <c r="S426" s="5">
        <f>(E426*R426)*1.35*1.05*1.03*1.08</f>
        <v/>
      </c>
      <c r="T426" s="4" t="n">
        <v>38.24</v>
      </c>
      <c r="U426" s="5">
        <f>(E426*T426)*1.35*1.05*1.03*1.08</f>
        <v/>
      </c>
      <c r="V426" s="4">
        <f>F426+N426+P426+R426+T426</f>
        <v/>
      </c>
      <c r="W426" s="5">
        <f>M426+O426+Q426+S426+U426</f>
        <v/>
      </c>
    </row>
    <row r="427">
      <c r="A427" t="inlineStr">
        <is>
          <t>JAX</t>
        </is>
      </c>
      <c r="B427" t="inlineStr">
        <is>
          <t>Mission Coordinator</t>
        </is>
      </c>
      <c r="C427" t="inlineStr">
        <is>
          <t>Non-SCA</t>
        </is>
      </c>
      <c r="D427" t="inlineStr">
        <is>
          <t>Exempt</t>
        </is>
      </c>
      <c r="E427" s="5" t="n">
        <v>85</v>
      </c>
      <c r="F427" s="4" t="n">
        <v>191.2</v>
      </c>
      <c r="G427" s="5">
        <f>E427*F427</f>
        <v/>
      </c>
      <c r="H427" s="5">
        <f>G427*0.35</f>
        <v/>
      </c>
      <c r="I427" s="5">
        <f>(G427+H427)*0.05</f>
        <v/>
      </c>
      <c r="J427" s="5">
        <f>(G427+H427+I427)*0.03</f>
        <v/>
      </c>
      <c r="K427" s="5">
        <f>G427+H427+I427+J427</f>
        <v/>
      </c>
      <c r="L427" s="5">
        <f>K427*0.08</f>
        <v/>
      </c>
      <c r="M427" s="5">
        <f>K427+L427</f>
        <v/>
      </c>
      <c r="N427" s="4" t="n">
        <v>38.24</v>
      </c>
      <c r="O427" s="5">
        <f>(E427*N427)*1.35*1.05*1.03*1.08</f>
        <v/>
      </c>
      <c r="P427" s="4" t="n">
        <v>38.24</v>
      </c>
      <c r="Q427" s="5">
        <f>(E427*P427)*1.35*1.05*1.03*1.08</f>
        <v/>
      </c>
      <c r="R427" s="4" t="n">
        <v>38.24</v>
      </c>
      <c r="S427" s="5">
        <f>(E427*R427)*1.35*1.05*1.03*1.08</f>
        <v/>
      </c>
      <c r="T427" s="4" t="n">
        <v>38.24</v>
      </c>
      <c r="U427" s="5">
        <f>(E427*T427)*1.35*1.05*1.03*1.08</f>
        <v/>
      </c>
      <c r="V427" s="4">
        <f>F427+N427+P427+R427+T427</f>
        <v/>
      </c>
      <c r="W427" s="5">
        <f>M427+O427+Q427+S427+U427</f>
        <v/>
      </c>
    </row>
    <row r="428">
      <c r="A428" t="inlineStr">
        <is>
          <t>JAX</t>
        </is>
      </c>
      <c r="B428" t="inlineStr">
        <is>
          <t>Mission Coordinator, Senior</t>
        </is>
      </c>
      <c r="C428" t="inlineStr">
        <is>
          <t>Non-SCA</t>
        </is>
      </c>
      <c r="D428" t="inlineStr">
        <is>
          <t>Exempt</t>
        </is>
      </c>
      <c r="E428" s="5" t="n">
        <v>95</v>
      </c>
      <c r="F428" s="4" t="n">
        <v>191.2</v>
      </c>
      <c r="G428" s="5">
        <f>E428*F428</f>
        <v/>
      </c>
      <c r="H428" s="5">
        <f>G428*0.35</f>
        <v/>
      </c>
      <c r="I428" s="5">
        <f>(G428+H428)*0.05</f>
        <v/>
      </c>
      <c r="J428" s="5">
        <f>(G428+H428+I428)*0.03</f>
        <v/>
      </c>
      <c r="K428" s="5">
        <f>G428+H428+I428+J428</f>
        <v/>
      </c>
      <c r="L428" s="5">
        <f>K428*0.08</f>
        <v/>
      </c>
      <c r="M428" s="5">
        <f>K428+L428</f>
        <v/>
      </c>
      <c r="N428" s="4" t="n">
        <v>38.24</v>
      </c>
      <c r="O428" s="5">
        <f>(E428*N428)*1.35*1.05*1.03*1.08</f>
        <v/>
      </c>
      <c r="P428" s="4" t="n">
        <v>38.24</v>
      </c>
      <c r="Q428" s="5">
        <f>(E428*P428)*1.35*1.05*1.03*1.08</f>
        <v/>
      </c>
      <c r="R428" s="4" t="n">
        <v>38.24</v>
      </c>
      <c r="S428" s="5">
        <f>(E428*R428)*1.35*1.05*1.03*1.08</f>
        <v/>
      </c>
      <c r="T428" s="4" t="n">
        <v>38.24</v>
      </c>
      <c r="U428" s="5">
        <f>(E428*T428)*1.35*1.05*1.03*1.08</f>
        <v/>
      </c>
      <c r="V428" s="4">
        <f>F428+N428+P428+R428+T428</f>
        <v/>
      </c>
      <c r="W428" s="5">
        <f>M428+O428+Q428+S428+U428</f>
        <v/>
      </c>
    </row>
    <row r="429">
      <c r="A429" t="inlineStr">
        <is>
          <t>JAX</t>
        </is>
      </c>
      <c r="B429" t="inlineStr">
        <is>
          <t>Operations Analyst</t>
        </is>
      </c>
      <c r="C429" t="inlineStr">
        <is>
          <t>Non-SCA</t>
        </is>
      </c>
      <c r="D429" t="inlineStr">
        <is>
          <t>Exempt</t>
        </is>
      </c>
      <c r="E429" s="5" t="n">
        <v>80</v>
      </c>
      <c r="F429" s="4" t="n">
        <v>382.4</v>
      </c>
      <c r="G429" s="5">
        <f>E429*F429</f>
        <v/>
      </c>
      <c r="H429" s="5">
        <f>G429*0.35</f>
        <v/>
      </c>
      <c r="I429" s="5">
        <f>(G429+H429)*0.05</f>
        <v/>
      </c>
      <c r="J429" s="5">
        <f>(G429+H429+I429)*0.03</f>
        <v/>
      </c>
      <c r="K429" s="5">
        <f>G429+H429+I429+J429</f>
        <v/>
      </c>
      <c r="L429" s="5">
        <f>K429*0.08</f>
        <v/>
      </c>
      <c r="M429" s="5">
        <f>K429+L429</f>
        <v/>
      </c>
      <c r="N429" s="4" t="n">
        <v>76.48</v>
      </c>
      <c r="O429" s="5">
        <f>(E429*N429)*1.35*1.05*1.03*1.08</f>
        <v/>
      </c>
      <c r="P429" s="4" t="n">
        <v>76.48</v>
      </c>
      <c r="Q429" s="5">
        <f>(E429*P429)*1.35*1.05*1.03*1.08</f>
        <v/>
      </c>
      <c r="R429" s="4" t="n">
        <v>76.48</v>
      </c>
      <c r="S429" s="5">
        <f>(E429*R429)*1.35*1.05*1.03*1.08</f>
        <v/>
      </c>
      <c r="T429" s="4" t="n">
        <v>76.48</v>
      </c>
      <c r="U429" s="5">
        <f>(E429*T429)*1.35*1.05*1.03*1.08</f>
        <v/>
      </c>
      <c r="V429" s="4">
        <f>F429+N429+P429+R429+T429</f>
        <v/>
      </c>
      <c r="W429" s="5">
        <f>M429+O429+Q429+S429+U429</f>
        <v/>
      </c>
    </row>
    <row r="430">
      <c r="A430" t="inlineStr">
        <is>
          <t>JAX</t>
        </is>
      </c>
      <c r="B430" t="inlineStr">
        <is>
          <t>Electronics Technician III</t>
        </is>
      </c>
      <c r="C430" t="inlineStr">
        <is>
          <t>SCA</t>
        </is>
      </c>
      <c r="D430" t="inlineStr">
        <is>
          <t>CBA</t>
        </is>
      </c>
      <c r="E430" s="5" t="n">
        <v>30.79</v>
      </c>
      <c r="F430" s="4" t="n">
        <v>764.8000000000001</v>
      </c>
      <c r="G430" s="5">
        <f>E430*F430</f>
        <v/>
      </c>
      <c r="H430" s="5">
        <f>G430*0.35</f>
        <v/>
      </c>
      <c r="I430" s="5">
        <f>(G430+H430)*0.05</f>
        <v/>
      </c>
      <c r="J430" s="5">
        <f>(G430+H430+I430)*0.03</f>
        <v/>
      </c>
      <c r="K430" s="5">
        <f>G430+H430+I430+J430</f>
        <v/>
      </c>
      <c r="L430" s="5">
        <f>K430*0.08</f>
        <v/>
      </c>
      <c r="M430" s="5">
        <f>K430+L430</f>
        <v/>
      </c>
      <c r="N430" s="4" t="n">
        <v>152.96</v>
      </c>
      <c r="O430" s="5">
        <f>(E430*N430)*1.35*1.05*1.03*1.08</f>
        <v/>
      </c>
      <c r="P430" s="4" t="n">
        <v>152.96</v>
      </c>
      <c r="Q430" s="5">
        <f>(E430*P430)*1.35*1.05*1.03*1.08</f>
        <v/>
      </c>
      <c r="R430" s="4" t="n">
        <v>152.96</v>
      </c>
      <c r="S430" s="5">
        <f>(E430*R430)*1.35*1.05*1.03*1.08</f>
        <v/>
      </c>
      <c r="T430" s="4" t="n">
        <v>152.96</v>
      </c>
      <c r="U430" s="5">
        <f>(E430*T430)*1.35*1.05*1.03*1.08</f>
        <v/>
      </c>
      <c r="V430" s="4">
        <f>F430+N430+P430+R430+T430</f>
        <v/>
      </c>
      <c r="W430" s="5">
        <f>M430+O430+Q430+S430+U430</f>
        <v/>
      </c>
    </row>
    <row r="431">
      <c r="A431" t="inlineStr">
        <is>
          <t>JAX</t>
        </is>
      </c>
      <c r="B431" t="inlineStr">
        <is>
          <t>Engineering Technician IV</t>
        </is>
      </c>
      <c r="C431" t="inlineStr">
        <is>
          <t>SCA</t>
        </is>
      </c>
      <c r="D431" t="inlineStr">
        <is>
          <t>SCLS</t>
        </is>
      </c>
      <c r="E431" s="5" t="n">
        <v>27.46</v>
      </c>
      <c r="F431" s="4" t="n">
        <v>573.6</v>
      </c>
      <c r="G431" s="5">
        <f>E431*F431</f>
        <v/>
      </c>
      <c r="H431" s="5">
        <f>G431*0.35</f>
        <v/>
      </c>
      <c r="I431" s="5">
        <f>(G431+H431)*0.05</f>
        <v/>
      </c>
      <c r="J431" s="5">
        <f>(G431+H431+I431)*0.03</f>
        <v/>
      </c>
      <c r="K431" s="5">
        <f>G431+H431+I431+J431</f>
        <v/>
      </c>
      <c r="L431" s="5">
        <f>K431*0.08</f>
        <v/>
      </c>
      <c r="M431" s="5">
        <f>K431+L431</f>
        <v/>
      </c>
      <c r="N431" s="4" t="n">
        <v>114.72</v>
      </c>
      <c r="O431" s="5">
        <f>(E431*N431)*1.35*1.05*1.03*1.08</f>
        <v/>
      </c>
      <c r="P431" s="4" t="n">
        <v>114.72</v>
      </c>
      <c r="Q431" s="5">
        <f>(E431*P431)*1.35*1.05*1.03*1.08</f>
        <v/>
      </c>
      <c r="R431" s="4" t="n">
        <v>114.72</v>
      </c>
      <c r="S431" s="5">
        <f>(E431*R431)*1.35*1.05*1.03*1.08</f>
        <v/>
      </c>
      <c r="T431" s="4" t="n">
        <v>114.72</v>
      </c>
      <c r="U431" s="5">
        <f>(E431*T431)*1.35*1.05*1.03*1.08</f>
        <v/>
      </c>
      <c r="V431" s="4">
        <f>F431+N431+P431+R431+T431</f>
        <v/>
      </c>
      <c r="W431" s="5">
        <f>M431+O431+Q431+S431+U431</f>
        <v/>
      </c>
    </row>
    <row r="432">
      <c r="A432" t="inlineStr">
        <is>
          <t>JAX</t>
        </is>
      </c>
      <c r="B432" t="inlineStr">
        <is>
          <t>Engineering Technician V</t>
        </is>
      </c>
      <c r="C432" t="inlineStr">
        <is>
          <t>SCA</t>
        </is>
      </c>
      <c r="D432" t="inlineStr">
        <is>
          <t>CBA</t>
        </is>
      </c>
      <c r="E432" s="5" t="n">
        <v>33.59</v>
      </c>
      <c r="F432" s="4" t="n">
        <v>1147.2</v>
      </c>
      <c r="G432" s="5">
        <f>E432*F432</f>
        <v/>
      </c>
      <c r="H432" s="5">
        <f>G432*0.35</f>
        <v/>
      </c>
      <c r="I432" s="5">
        <f>(G432+H432)*0.05</f>
        <v/>
      </c>
      <c r="J432" s="5">
        <f>(G432+H432+I432)*0.03</f>
        <v/>
      </c>
      <c r="K432" s="5">
        <f>G432+H432+I432+J432</f>
        <v/>
      </c>
      <c r="L432" s="5">
        <f>K432*0.08</f>
        <v/>
      </c>
      <c r="M432" s="5">
        <f>K432+L432</f>
        <v/>
      </c>
      <c r="N432" s="4" t="n">
        <v>229.44</v>
      </c>
      <c r="O432" s="5">
        <f>(E432*N432)*1.35*1.05*1.03*1.08</f>
        <v/>
      </c>
      <c r="P432" s="4" t="n">
        <v>229.44</v>
      </c>
      <c r="Q432" s="5">
        <f>(E432*P432)*1.35*1.05*1.03*1.08</f>
        <v/>
      </c>
      <c r="R432" s="4" t="n">
        <v>229.44</v>
      </c>
      <c r="S432" s="5">
        <f>(E432*R432)*1.35*1.05*1.03*1.08</f>
        <v/>
      </c>
      <c r="T432" s="4" t="n">
        <v>229.44</v>
      </c>
      <c r="U432" s="5">
        <f>(E432*T432)*1.35*1.05*1.03*1.08</f>
        <v/>
      </c>
      <c r="V432" s="4">
        <f>F432+N432+P432+R432+T432</f>
        <v/>
      </c>
      <c r="W432" s="5">
        <f>M432+O432+Q432+S432+U432</f>
        <v/>
      </c>
    </row>
    <row r="433">
      <c r="A433" t="inlineStr">
        <is>
          <t>JAX</t>
        </is>
      </c>
      <c r="B433" t="inlineStr">
        <is>
          <t>Engineering Technician VI</t>
        </is>
      </c>
      <c r="C433" t="inlineStr">
        <is>
          <t>SCA</t>
        </is>
      </c>
      <c r="D433" t="inlineStr">
        <is>
          <t>SCLS</t>
        </is>
      </c>
      <c r="E433" s="5" t="n">
        <v>40.64</v>
      </c>
      <c r="F433" s="4" t="n">
        <v>382.4</v>
      </c>
      <c r="G433" s="5">
        <f>E433*F433</f>
        <v/>
      </c>
      <c r="H433" s="5">
        <f>G433*0.35</f>
        <v/>
      </c>
      <c r="I433" s="5">
        <f>(G433+H433)*0.05</f>
        <v/>
      </c>
      <c r="J433" s="5">
        <f>(G433+H433+I433)*0.03</f>
        <v/>
      </c>
      <c r="K433" s="5">
        <f>G433+H433+I433+J433</f>
        <v/>
      </c>
      <c r="L433" s="5">
        <f>K433*0.08</f>
        <v/>
      </c>
      <c r="M433" s="5">
        <f>K433+L433</f>
        <v/>
      </c>
      <c r="N433" s="4" t="n">
        <v>76.48</v>
      </c>
      <c r="O433" s="5">
        <f>(E433*N433)*1.35*1.05*1.03*1.08</f>
        <v/>
      </c>
      <c r="P433" s="4" t="n">
        <v>76.48</v>
      </c>
      <c r="Q433" s="5">
        <f>(E433*P433)*1.35*1.05*1.03*1.08</f>
        <v/>
      </c>
      <c r="R433" s="4" t="n">
        <v>76.48</v>
      </c>
      <c r="S433" s="5">
        <f>(E433*R433)*1.35*1.05*1.03*1.08</f>
        <v/>
      </c>
      <c r="T433" s="4" t="n">
        <v>76.48</v>
      </c>
      <c r="U433" s="5">
        <f>(E433*T433)*1.35*1.05*1.03*1.08</f>
        <v/>
      </c>
      <c r="V433" s="4">
        <f>F433+N433+P433+R433+T433</f>
        <v/>
      </c>
      <c r="W433" s="5">
        <f>M433+O433+Q433+S433+U433</f>
        <v/>
      </c>
    </row>
    <row r="434">
      <c r="A434" t="inlineStr">
        <is>
          <t>JAX</t>
        </is>
      </c>
      <c r="B434" t="inlineStr">
        <is>
          <t>Logistician Analyst IV</t>
        </is>
      </c>
      <c r="C434" t="inlineStr">
        <is>
          <t>Non-SCA</t>
        </is>
      </c>
      <c r="D434" t="inlineStr">
        <is>
          <t>Exempt</t>
        </is>
      </c>
      <c r="E434" s="5" t="n">
        <v>75</v>
      </c>
      <c r="F434" s="4" t="n">
        <v>191.2</v>
      </c>
      <c r="G434" s="5">
        <f>E434*F434</f>
        <v/>
      </c>
      <c r="H434" s="5">
        <f>G434*0.35</f>
        <v/>
      </c>
      <c r="I434" s="5">
        <f>(G434+H434)*0.05</f>
        <v/>
      </c>
      <c r="J434" s="5">
        <f>(G434+H434+I434)*0.03</f>
        <v/>
      </c>
      <c r="K434" s="5">
        <f>G434+H434+I434+J434</f>
        <v/>
      </c>
      <c r="L434" s="5">
        <f>K434*0.08</f>
        <v/>
      </c>
      <c r="M434" s="5">
        <f>K434+L434</f>
        <v/>
      </c>
      <c r="N434" s="4" t="n">
        <v>38.24</v>
      </c>
      <c r="O434" s="5">
        <f>(E434*N434)*1.35*1.05*1.03*1.08</f>
        <v/>
      </c>
      <c r="P434" s="4" t="n">
        <v>38.24</v>
      </c>
      <c r="Q434" s="5">
        <f>(E434*P434)*1.35*1.05*1.03*1.08</f>
        <v/>
      </c>
      <c r="R434" s="4" t="n">
        <v>38.24</v>
      </c>
      <c r="S434" s="5">
        <f>(E434*R434)*1.35*1.05*1.03*1.08</f>
        <v/>
      </c>
      <c r="T434" s="4" t="n">
        <v>38.24</v>
      </c>
      <c r="U434" s="5">
        <f>(E434*T434)*1.35*1.05*1.03*1.08</f>
        <v/>
      </c>
      <c r="V434" s="4">
        <f>F434+N434+P434+R434+T434</f>
        <v/>
      </c>
      <c r="W434" s="5">
        <f>M434+O434+Q434+S434+U434</f>
        <v/>
      </c>
    </row>
    <row r="435">
      <c r="A435" t="inlineStr">
        <is>
          <t>JAX</t>
        </is>
      </c>
      <c r="B435" t="inlineStr">
        <is>
          <t>Quality Assurance/Safety Evaluator</t>
        </is>
      </c>
      <c r="C435" t="inlineStr">
        <is>
          <t>Non-SCA</t>
        </is>
      </c>
      <c r="D435" t="inlineStr">
        <is>
          <t>Exempt</t>
        </is>
      </c>
      <c r="E435" s="5" t="n">
        <v>75</v>
      </c>
      <c r="F435" s="4" t="n">
        <v>191.2</v>
      </c>
      <c r="G435" s="5">
        <f>E435*F435</f>
        <v/>
      </c>
      <c r="H435" s="5">
        <f>G435*0.35</f>
        <v/>
      </c>
      <c r="I435" s="5">
        <f>(G435+H435)*0.05</f>
        <v/>
      </c>
      <c r="J435" s="5">
        <f>(G435+H435+I435)*0.03</f>
        <v/>
      </c>
      <c r="K435" s="5">
        <f>G435+H435+I435+J435</f>
        <v/>
      </c>
      <c r="L435" s="5">
        <f>K435*0.08</f>
        <v/>
      </c>
      <c r="M435" s="5">
        <f>K435+L435</f>
        <v/>
      </c>
      <c r="N435" s="4" t="n">
        <v>38.24</v>
      </c>
      <c r="O435" s="5">
        <f>(E435*N435)*1.35*1.05*1.03*1.08</f>
        <v/>
      </c>
      <c r="P435" s="4" t="n">
        <v>38.24</v>
      </c>
      <c r="Q435" s="5">
        <f>(E435*P435)*1.35*1.05*1.03*1.08</f>
        <v/>
      </c>
      <c r="R435" s="4" t="n">
        <v>38.24</v>
      </c>
      <c r="S435" s="5">
        <f>(E435*R435)*1.35*1.05*1.03*1.08</f>
        <v/>
      </c>
      <c r="T435" s="4" t="n">
        <v>38.24</v>
      </c>
      <c r="U435" s="5">
        <f>(E435*T435)*1.35*1.05*1.03*1.08</f>
        <v/>
      </c>
      <c r="V435" s="4">
        <f>F435+N435+P435+R435+T435</f>
        <v/>
      </c>
      <c r="W435" s="5">
        <f>M435+O435+Q435+S435+U435</f>
        <v/>
      </c>
    </row>
    <row r="436">
      <c r="A436" t="inlineStr">
        <is>
          <t>Oceana</t>
        </is>
      </c>
      <c r="B436" t="inlineStr">
        <is>
          <t>Site Manager</t>
        </is>
      </c>
      <c r="C436" t="inlineStr">
        <is>
          <t>Non-SCA</t>
        </is>
      </c>
      <c r="D436" t="inlineStr">
        <is>
          <t>Exempt</t>
        </is>
      </c>
      <c r="E436" s="5" t="n">
        <v>95</v>
      </c>
      <c r="F436" s="4" t="n">
        <v>191.2</v>
      </c>
      <c r="G436" s="5">
        <f>E436*F436</f>
        <v/>
      </c>
      <c r="H436" s="5">
        <f>G436*0.35</f>
        <v/>
      </c>
      <c r="I436" s="5">
        <f>(G436+H436)*0.05</f>
        <v/>
      </c>
      <c r="J436" s="5">
        <f>(G436+H436+I436)*0.03</f>
        <v/>
      </c>
      <c r="K436" s="5">
        <f>G436+H436+I436+J436</f>
        <v/>
      </c>
      <c r="L436" s="5">
        <f>K436*0.08</f>
        <v/>
      </c>
      <c r="M436" s="5">
        <f>K436+L436</f>
        <v/>
      </c>
      <c r="N436" s="4" t="n">
        <v>38.24</v>
      </c>
      <c r="O436" s="5">
        <f>(E436*N436)*1.35*1.05*1.03*1.08</f>
        <v/>
      </c>
      <c r="P436" s="4" t="n">
        <v>38.24</v>
      </c>
      <c r="Q436" s="5">
        <f>(E436*P436)*1.35*1.05*1.03*1.08</f>
        <v/>
      </c>
      <c r="R436" s="4" t="n">
        <v>38.24</v>
      </c>
      <c r="S436" s="5">
        <f>(E436*R436)*1.35*1.05*1.03*1.08</f>
        <v/>
      </c>
      <c r="T436" s="4" t="n">
        <v>38.24</v>
      </c>
      <c r="U436" s="5">
        <f>(E436*T436)*1.35*1.05*1.03*1.08</f>
        <v/>
      </c>
      <c r="V436" s="4">
        <f>F436+N436+P436+R436+T436</f>
        <v/>
      </c>
      <c r="W436" s="5">
        <f>M436+O436+Q436+S436+U436</f>
        <v/>
      </c>
    </row>
    <row r="437">
      <c r="A437" t="inlineStr">
        <is>
          <t>Oceana</t>
        </is>
      </c>
      <c r="B437" t="inlineStr">
        <is>
          <t>Mission Coordinator</t>
        </is>
      </c>
      <c r="C437" t="inlineStr">
        <is>
          <t>Non-SCA</t>
        </is>
      </c>
      <c r="D437" t="inlineStr">
        <is>
          <t>Exempt</t>
        </is>
      </c>
      <c r="E437" s="5" t="n">
        <v>85</v>
      </c>
      <c r="F437" s="4" t="n">
        <v>191.2</v>
      </c>
      <c r="G437" s="5">
        <f>E437*F437</f>
        <v/>
      </c>
      <c r="H437" s="5">
        <f>G437*0.35</f>
        <v/>
      </c>
      <c r="I437" s="5">
        <f>(G437+H437)*0.05</f>
        <v/>
      </c>
      <c r="J437" s="5">
        <f>(G437+H437+I437)*0.03</f>
        <v/>
      </c>
      <c r="K437" s="5">
        <f>G437+H437+I437+J437</f>
        <v/>
      </c>
      <c r="L437" s="5">
        <f>K437*0.08</f>
        <v/>
      </c>
      <c r="M437" s="5">
        <f>K437+L437</f>
        <v/>
      </c>
      <c r="N437" s="4" t="n">
        <v>38.24</v>
      </c>
      <c r="O437" s="5">
        <f>(E437*N437)*1.35*1.05*1.03*1.08</f>
        <v/>
      </c>
      <c r="P437" s="4" t="n">
        <v>38.24</v>
      </c>
      <c r="Q437" s="5">
        <f>(E437*P437)*1.35*1.05*1.03*1.08</f>
        <v/>
      </c>
      <c r="R437" s="4" t="n">
        <v>38.24</v>
      </c>
      <c r="S437" s="5">
        <f>(E437*R437)*1.35*1.05*1.03*1.08</f>
        <v/>
      </c>
      <c r="T437" s="4" t="n">
        <v>38.24</v>
      </c>
      <c r="U437" s="5">
        <f>(E437*T437)*1.35*1.05*1.03*1.08</f>
        <v/>
      </c>
      <c r="V437" s="4">
        <f>F437+N437+P437+R437+T437</f>
        <v/>
      </c>
      <c r="W437" s="5">
        <f>M437+O437+Q437+S437+U437</f>
        <v/>
      </c>
    </row>
    <row r="438">
      <c r="A438" t="inlineStr">
        <is>
          <t>Oceana</t>
        </is>
      </c>
      <c r="B438" t="inlineStr">
        <is>
          <t>Mission Coordinator, Senior</t>
        </is>
      </c>
      <c r="C438" t="inlineStr">
        <is>
          <t>Non-SCA</t>
        </is>
      </c>
      <c r="D438" t="inlineStr">
        <is>
          <t>Exempt</t>
        </is>
      </c>
      <c r="E438" s="5" t="n">
        <v>95</v>
      </c>
      <c r="F438" s="4" t="n">
        <v>191.2</v>
      </c>
      <c r="G438" s="5">
        <f>E438*F438</f>
        <v/>
      </c>
      <c r="H438" s="5">
        <f>G438*0.35</f>
        <v/>
      </c>
      <c r="I438" s="5">
        <f>(G438+H438)*0.05</f>
        <v/>
      </c>
      <c r="J438" s="5">
        <f>(G438+H438+I438)*0.03</f>
        <v/>
      </c>
      <c r="K438" s="5">
        <f>G438+H438+I438+J438</f>
        <v/>
      </c>
      <c r="L438" s="5">
        <f>K438*0.08</f>
        <v/>
      </c>
      <c r="M438" s="5">
        <f>K438+L438</f>
        <v/>
      </c>
      <c r="N438" s="4" t="n">
        <v>38.24</v>
      </c>
      <c r="O438" s="5">
        <f>(E438*N438)*1.35*1.05*1.03*1.08</f>
        <v/>
      </c>
      <c r="P438" s="4" t="n">
        <v>38.24</v>
      </c>
      <c r="Q438" s="5">
        <f>(E438*P438)*1.35*1.05*1.03*1.08</f>
        <v/>
      </c>
      <c r="R438" s="4" t="n">
        <v>38.24</v>
      </c>
      <c r="S438" s="5">
        <f>(E438*R438)*1.35*1.05*1.03*1.08</f>
        <v/>
      </c>
      <c r="T438" s="4" t="n">
        <v>38.24</v>
      </c>
      <c r="U438" s="5">
        <f>(E438*T438)*1.35*1.05*1.03*1.08</f>
        <v/>
      </c>
      <c r="V438" s="4">
        <f>F438+N438+P438+R438+T438</f>
        <v/>
      </c>
      <c r="W438" s="5">
        <f>M438+O438+Q438+S438+U438</f>
        <v/>
      </c>
    </row>
    <row r="439">
      <c r="A439" t="inlineStr">
        <is>
          <t>Oceana</t>
        </is>
      </c>
      <c r="B439" t="inlineStr">
        <is>
          <t>Technical Support Specialist</t>
        </is>
      </c>
      <c r="C439" t="inlineStr">
        <is>
          <t>Non-SCA</t>
        </is>
      </c>
      <c r="D439" t="inlineStr">
        <is>
          <t>Exempt</t>
        </is>
      </c>
      <c r="E439" s="5" t="n">
        <v>80</v>
      </c>
      <c r="F439" s="4" t="n">
        <v>191.2</v>
      </c>
      <c r="G439" s="5">
        <f>E439*F439</f>
        <v/>
      </c>
      <c r="H439" s="5">
        <f>G439*0.35</f>
        <v/>
      </c>
      <c r="I439" s="5">
        <f>(G439+H439)*0.05</f>
        <v/>
      </c>
      <c r="J439" s="5">
        <f>(G439+H439+I439)*0.03</f>
        <v/>
      </c>
      <c r="K439" s="5">
        <f>G439+H439+I439+J439</f>
        <v/>
      </c>
      <c r="L439" s="5">
        <f>K439*0.08</f>
        <v/>
      </c>
      <c r="M439" s="5">
        <f>K439+L439</f>
        <v/>
      </c>
      <c r="N439" s="4" t="n">
        <v>38.24</v>
      </c>
      <c r="O439" s="5">
        <f>(E439*N439)*1.35*1.05*1.03*1.08</f>
        <v/>
      </c>
      <c r="P439" s="4" t="n">
        <v>38.24</v>
      </c>
      <c r="Q439" s="5">
        <f>(E439*P439)*1.35*1.05*1.03*1.08</f>
        <v/>
      </c>
      <c r="R439" s="4" t="n">
        <v>38.24</v>
      </c>
      <c r="S439" s="5">
        <f>(E439*R439)*1.35*1.05*1.03*1.08</f>
        <v/>
      </c>
      <c r="T439" s="4" t="n">
        <v>38.24</v>
      </c>
      <c r="U439" s="5">
        <f>(E439*T439)*1.35*1.05*1.03*1.08</f>
        <v/>
      </c>
      <c r="V439" s="4">
        <f>F439+N439+P439+R439+T439</f>
        <v/>
      </c>
      <c r="W439" s="5">
        <f>M439+O439+Q439+S439+U439</f>
        <v/>
      </c>
    </row>
    <row r="440">
      <c r="A440" t="inlineStr">
        <is>
          <t>Oceana</t>
        </is>
      </c>
      <c r="B440" t="inlineStr">
        <is>
          <t>Computer Operator V</t>
        </is>
      </c>
      <c r="C440" t="inlineStr">
        <is>
          <t>SCA</t>
        </is>
      </c>
      <c r="D440" t="inlineStr">
        <is>
          <t>CBA</t>
        </is>
      </c>
      <c r="E440" s="5" t="n">
        <v>28.83</v>
      </c>
      <c r="F440" s="4" t="n">
        <v>382.4</v>
      </c>
      <c r="G440" s="5">
        <f>E440*F440</f>
        <v/>
      </c>
      <c r="H440" s="5">
        <f>G440*0.35</f>
        <v/>
      </c>
      <c r="I440" s="5">
        <f>(G440+H440)*0.05</f>
        <v/>
      </c>
      <c r="J440" s="5">
        <f>(G440+H440+I440)*0.03</f>
        <v/>
      </c>
      <c r="K440" s="5">
        <f>G440+H440+I440+J440</f>
        <v/>
      </c>
      <c r="L440" s="5">
        <f>K440*0.08</f>
        <v/>
      </c>
      <c r="M440" s="5">
        <f>K440+L440</f>
        <v/>
      </c>
      <c r="N440" s="4" t="n">
        <v>76.48</v>
      </c>
      <c r="O440" s="5">
        <f>(E440*N440)*1.35*1.05*1.03*1.08</f>
        <v/>
      </c>
      <c r="P440" s="4" t="n">
        <v>76.48</v>
      </c>
      <c r="Q440" s="5">
        <f>(E440*P440)*1.35*1.05*1.03*1.08</f>
        <v/>
      </c>
      <c r="R440" s="4" t="n">
        <v>76.48</v>
      </c>
      <c r="S440" s="5">
        <f>(E440*R440)*1.35*1.05*1.03*1.08</f>
        <v/>
      </c>
      <c r="T440" s="4" t="n">
        <v>76.48</v>
      </c>
      <c r="U440" s="5">
        <f>(E440*T440)*1.35*1.05*1.03*1.08</f>
        <v/>
      </c>
      <c r="V440" s="4">
        <f>F440+N440+P440+R440+T440</f>
        <v/>
      </c>
      <c r="W440" s="5">
        <f>M440+O440+Q440+S440+U440</f>
        <v/>
      </c>
    </row>
    <row r="441">
      <c r="A441" t="inlineStr">
        <is>
          <t>Oceana</t>
        </is>
      </c>
      <c r="B441" t="inlineStr">
        <is>
          <t>Operations Analyst</t>
        </is>
      </c>
      <c r="C441" t="inlineStr">
        <is>
          <t>Non-SCA</t>
        </is>
      </c>
      <c r="D441" t="inlineStr">
        <is>
          <t>Exempt</t>
        </is>
      </c>
      <c r="E441" s="5" t="n">
        <v>80</v>
      </c>
      <c r="F441" s="4" t="n">
        <v>191.2</v>
      </c>
      <c r="G441" s="5">
        <f>E441*F441</f>
        <v/>
      </c>
      <c r="H441" s="5">
        <f>G441*0.35</f>
        <v/>
      </c>
      <c r="I441" s="5">
        <f>(G441+H441)*0.05</f>
        <v/>
      </c>
      <c r="J441" s="5">
        <f>(G441+H441+I441)*0.03</f>
        <v/>
      </c>
      <c r="K441" s="5">
        <f>G441+H441+I441+J441</f>
        <v/>
      </c>
      <c r="L441" s="5">
        <f>K441*0.08</f>
        <v/>
      </c>
      <c r="M441" s="5">
        <f>K441+L441</f>
        <v/>
      </c>
      <c r="N441" s="4" t="n">
        <v>38.24</v>
      </c>
      <c r="O441" s="5">
        <f>(E441*N441)*1.35*1.05*1.03*1.08</f>
        <v/>
      </c>
      <c r="P441" s="4" t="n">
        <v>38.24</v>
      </c>
      <c r="Q441" s="5">
        <f>(E441*P441)*1.35*1.05*1.03*1.08</f>
        <v/>
      </c>
      <c r="R441" s="4" t="n">
        <v>38.24</v>
      </c>
      <c r="S441" s="5">
        <f>(E441*R441)*1.35*1.05*1.03*1.08</f>
        <v/>
      </c>
      <c r="T441" s="4" t="n">
        <v>38.24</v>
      </c>
      <c r="U441" s="5">
        <f>(E441*T441)*1.35*1.05*1.03*1.08</f>
        <v/>
      </c>
      <c r="V441" s="4">
        <f>F441+N441+P441+R441+T441</f>
        <v/>
      </c>
      <c r="W441" s="5">
        <f>M441+O441+Q441+S441+U441</f>
        <v/>
      </c>
    </row>
    <row r="442">
      <c r="A442" t="inlineStr">
        <is>
          <t>Oceana</t>
        </is>
      </c>
      <c r="B442" t="inlineStr">
        <is>
          <t>Tactical Data Link Analyst</t>
        </is>
      </c>
      <c r="C442" t="inlineStr">
        <is>
          <t>Non-SCA</t>
        </is>
      </c>
      <c r="D442" t="inlineStr">
        <is>
          <t>Exempt</t>
        </is>
      </c>
      <c r="E442" s="5" t="n">
        <v>75</v>
      </c>
      <c r="F442" s="4" t="n">
        <v>191.2</v>
      </c>
      <c r="G442" s="5">
        <f>E442*F442</f>
        <v/>
      </c>
      <c r="H442" s="5">
        <f>G442*0.35</f>
        <v/>
      </c>
      <c r="I442" s="5">
        <f>(G442+H442)*0.05</f>
        <v/>
      </c>
      <c r="J442" s="5">
        <f>(G442+H442+I442)*0.03</f>
        <v/>
      </c>
      <c r="K442" s="5">
        <f>G442+H442+I442+J442</f>
        <v/>
      </c>
      <c r="L442" s="5">
        <f>K442*0.08</f>
        <v/>
      </c>
      <c r="M442" s="5">
        <f>K442+L442</f>
        <v/>
      </c>
      <c r="N442" s="4" t="n">
        <v>38.24</v>
      </c>
      <c r="O442" s="5">
        <f>(E442*N442)*1.35*1.05*1.03*1.08</f>
        <v/>
      </c>
      <c r="P442" s="4" t="n">
        <v>38.24</v>
      </c>
      <c r="Q442" s="5">
        <f>(E442*P442)*1.35*1.05*1.03*1.08</f>
        <v/>
      </c>
      <c r="R442" s="4" t="n">
        <v>38.24</v>
      </c>
      <c r="S442" s="5">
        <f>(E442*R442)*1.35*1.05*1.03*1.08</f>
        <v/>
      </c>
      <c r="T442" s="4" t="n">
        <v>38.24</v>
      </c>
      <c r="U442" s="5">
        <f>(E442*T442)*1.35*1.05*1.03*1.08</f>
        <v/>
      </c>
      <c r="V442" s="4">
        <f>F442+N442+P442+R442+T442</f>
        <v/>
      </c>
      <c r="W442" s="5">
        <f>M442+O442+Q442+S442+U442</f>
        <v/>
      </c>
    </row>
    <row r="443">
      <c r="A443" t="inlineStr">
        <is>
          <t>Oceana</t>
        </is>
      </c>
      <c r="B443" t="inlineStr">
        <is>
          <t>Engineering Technician IV</t>
        </is>
      </c>
      <c r="C443" t="inlineStr">
        <is>
          <t>SCA</t>
        </is>
      </c>
      <c r="D443" t="inlineStr">
        <is>
          <t>CBA</t>
        </is>
      </c>
      <c r="E443" s="5" t="n">
        <v>30.81</v>
      </c>
      <c r="F443" s="4" t="n">
        <v>2294.4</v>
      </c>
      <c r="G443" s="5">
        <f>E443*F443</f>
        <v/>
      </c>
      <c r="H443" s="5">
        <f>G443*0.35</f>
        <v/>
      </c>
      <c r="I443" s="5">
        <f>(G443+H443)*0.05</f>
        <v/>
      </c>
      <c r="J443" s="5">
        <f>(G443+H443+I443)*0.03</f>
        <v/>
      </c>
      <c r="K443" s="5">
        <f>G443+H443+I443+J443</f>
        <v/>
      </c>
      <c r="L443" s="5">
        <f>K443*0.08</f>
        <v/>
      </c>
      <c r="M443" s="5">
        <f>K443+L443</f>
        <v/>
      </c>
      <c r="N443" s="4" t="n">
        <v>458.88</v>
      </c>
      <c r="O443" s="5">
        <f>(E443*N443)*1.35*1.05*1.03*1.08</f>
        <v/>
      </c>
      <c r="P443" s="4" t="n">
        <v>458.88</v>
      </c>
      <c r="Q443" s="5">
        <f>(E443*P443)*1.35*1.05*1.03*1.08</f>
        <v/>
      </c>
      <c r="R443" s="4" t="n">
        <v>458.88</v>
      </c>
      <c r="S443" s="5">
        <f>(E443*R443)*1.35*1.05*1.03*1.08</f>
        <v/>
      </c>
      <c r="T443" s="4" t="n">
        <v>458.88</v>
      </c>
      <c r="U443" s="5">
        <f>(E443*T443)*1.35*1.05*1.03*1.08</f>
        <v/>
      </c>
      <c r="V443" s="4">
        <f>F443+N443+P443+R443+T443</f>
        <v/>
      </c>
      <c r="W443" s="5">
        <f>M443+O443+Q443+S443+U443</f>
        <v/>
      </c>
    </row>
    <row r="444">
      <c r="A444" t="inlineStr">
        <is>
          <t>Oceana</t>
        </is>
      </c>
      <c r="B444" t="inlineStr">
        <is>
          <t>Engineering Technician V</t>
        </is>
      </c>
      <c r="C444" t="inlineStr">
        <is>
          <t>SCA</t>
        </is>
      </c>
      <c r="D444" t="inlineStr">
        <is>
          <t>CBA</t>
        </is>
      </c>
      <c r="E444" s="5" t="n">
        <v>37.68</v>
      </c>
      <c r="F444" s="4" t="n">
        <v>1338.4</v>
      </c>
      <c r="G444" s="5">
        <f>E444*F444</f>
        <v/>
      </c>
      <c r="H444" s="5">
        <f>G444*0.35</f>
        <v/>
      </c>
      <c r="I444" s="5">
        <f>(G444+H444)*0.05</f>
        <v/>
      </c>
      <c r="J444" s="5">
        <f>(G444+H444+I444)*0.03</f>
        <v/>
      </c>
      <c r="K444" s="5">
        <f>G444+H444+I444+J444</f>
        <v/>
      </c>
      <c r="L444" s="5">
        <f>K444*0.08</f>
        <v/>
      </c>
      <c r="M444" s="5">
        <f>K444+L444</f>
        <v/>
      </c>
      <c r="N444" s="4" t="n">
        <v>267.68</v>
      </c>
      <c r="O444" s="5">
        <f>(E444*N444)*1.35*1.05*1.03*1.08</f>
        <v/>
      </c>
      <c r="P444" s="4" t="n">
        <v>267.68</v>
      </c>
      <c r="Q444" s="5">
        <f>(E444*P444)*1.35*1.05*1.03*1.08</f>
        <v/>
      </c>
      <c r="R444" s="4" t="n">
        <v>267.68</v>
      </c>
      <c r="S444" s="5">
        <f>(E444*R444)*1.35*1.05*1.03*1.08</f>
        <v/>
      </c>
      <c r="T444" s="4" t="n">
        <v>267.68</v>
      </c>
      <c r="U444" s="5">
        <f>(E444*T444)*1.35*1.05*1.03*1.08</f>
        <v/>
      </c>
      <c r="V444" s="4">
        <f>F444+N444+P444+R444+T444</f>
        <v/>
      </c>
      <c r="W444" s="5">
        <f>M444+O444+Q444+S444+U444</f>
        <v/>
      </c>
    </row>
    <row r="445">
      <c r="A445" t="inlineStr">
        <is>
          <t>Oceana</t>
        </is>
      </c>
      <c r="B445" t="inlineStr">
        <is>
          <t>Maintenance Coordinator</t>
        </is>
      </c>
      <c r="C445" t="inlineStr">
        <is>
          <t>Non-SCA</t>
        </is>
      </c>
      <c r="D445" t="inlineStr">
        <is>
          <t>Exempt</t>
        </is>
      </c>
      <c r="E445" s="5" t="n">
        <v>80</v>
      </c>
      <c r="F445" s="4" t="n">
        <v>191.2</v>
      </c>
      <c r="G445" s="5">
        <f>E445*F445</f>
        <v/>
      </c>
      <c r="H445" s="5">
        <f>G445*0.35</f>
        <v/>
      </c>
      <c r="I445" s="5">
        <f>(G445+H445)*0.05</f>
        <v/>
      </c>
      <c r="J445" s="5">
        <f>(G445+H445+I445)*0.03</f>
        <v/>
      </c>
      <c r="K445" s="5">
        <f>G445+H445+I445+J445</f>
        <v/>
      </c>
      <c r="L445" s="5">
        <f>K445*0.08</f>
        <v/>
      </c>
      <c r="M445" s="5">
        <f>K445+L445</f>
        <v/>
      </c>
      <c r="N445" s="4" t="n">
        <v>38.24</v>
      </c>
      <c r="O445" s="5">
        <f>(E445*N445)*1.35*1.05*1.03*1.08</f>
        <v/>
      </c>
      <c r="P445" s="4" t="n">
        <v>38.24</v>
      </c>
      <c r="Q445" s="5">
        <f>(E445*P445)*1.35*1.05*1.03*1.08</f>
        <v/>
      </c>
      <c r="R445" s="4" t="n">
        <v>38.24</v>
      </c>
      <c r="S445" s="5">
        <f>(E445*R445)*1.35*1.05*1.03*1.08</f>
        <v/>
      </c>
      <c r="T445" s="4" t="n">
        <v>38.24</v>
      </c>
      <c r="U445" s="5">
        <f>(E445*T445)*1.35*1.05*1.03*1.08</f>
        <v/>
      </c>
      <c r="V445" s="4">
        <f>F445+N445+P445+R445+T445</f>
        <v/>
      </c>
      <c r="W445" s="5">
        <f>M445+O445+Q445+S445+U445</f>
        <v/>
      </c>
    </row>
    <row r="446">
      <c r="A446" t="inlineStr">
        <is>
          <t>Oceana</t>
        </is>
      </c>
      <c r="B446" t="inlineStr">
        <is>
          <t>Logistician Analyst IV</t>
        </is>
      </c>
      <c r="C446" t="inlineStr">
        <is>
          <t>Non-SCA</t>
        </is>
      </c>
      <c r="D446" t="inlineStr">
        <is>
          <t>Exempt</t>
        </is>
      </c>
      <c r="E446" s="5" t="n">
        <v>75</v>
      </c>
      <c r="F446" s="4" t="n">
        <v>573.6</v>
      </c>
      <c r="G446" s="5">
        <f>E446*F446</f>
        <v/>
      </c>
      <c r="H446" s="5">
        <f>G446*0.35</f>
        <v/>
      </c>
      <c r="I446" s="5">
        <f>(G446+H446)*0.05</f>
        <v/>
      </c>
      <c r="J446" s="5">
        <f>(G446+H446+I446)*0.03</f>
        <v/>
      </c>
      <c r="K446" s="5">
        <f>G446+H446+I446+J446</f>
        <v/>
      </c>
      <c r="L446" s="5">
        <f>K446*0.08</f>
        <v/>
      </c>
      <c r="M446" s="5">
        <f>K446+L446</f>
        <v/>
      </c>
      <c r="N446" s="4" t="n">
        <v>114.72</v>
      </c>
      <c r="O446" s="5">
        <f>(E446*N446)*1.35*1.05*1.03*1.08</f>
        <v/>
      </c>
      <c r="P446" s="4" t="n">
        <v>114.72</v>
      </c>
      <c r="Q446" s="5">
        <f>(E446*P446)*1.35*1.05*1.03*1.08</f>
        <v/>
      </c>
      <c r="R446" s="4" t="n">
        <v>114.72</v>
      </c>
      <c r="S446" s="5">
        <f>(E446*R446)*1.35*1.05*1.03*1.08</f>
        <v/>
      </c>
      <c r="T446" s="4" t="n">
        <v>114.72</v>
      </c>
      <c r="U446" s="5">
        <f>(E446*T446)*1.35*1.05*1.03*1.08</f>
        <v/>
      </c>
      <c r="V446" s="4">
        <f>F446+N446+P446+R446+T446</f>
        <v/>
      </c>
      <c r="W446" s="5">
        <f>M446+O446+Q446+S446+U446</f>
        <v/>
      </c>
    </row>
    <row r="447">
      <c r="A447" t="inlineStr">
        <is>
          <t>Oceana</t>
        </is>
      </c>
      <c r="B447" t="inlineStr">
        <is>
          <t>Security Coordinator</t>
        </is>
      </c>
      <c r="C447" t="inlineStr">
        <is>
          <t>Non-SCA</t>
        </is>
      </c>
      <c r="D447" t="inlineStr">
        <is>
          <t>Exempt</t>
        </is>
      </c>
      <c r="E447" s="5" t="n">
        <v>70</v>
      </c>
      <c r="F447" s="4" t="n">
        <v>382.4</v>
      </c>
      <c r="G447" s="5">
        <f>E447*F447</f>
        <v/>
      </c>
      <c r="H447" s="5">
        <f>G447*0.35</f>
        <v/>
      </c>
      <c r="I447" s="5">
        <f>(G447+H447)*0.05</f>
        <v/>
      </c>
      <c r="J447" s="5">
        <f>(G447+H447+I447)*0.03</f>
        <v/>
      </c>
      <c r="K447" s="5">
        <f>G447+H447+I447+J447</f>
        <v/>
      </c>
      <c r="L447" s="5">
        <f>K447*0.08</f>
        <v/>
      </c>
      <c r="M447" s="5">
        <f>K447+L447</f>
        <v/>
      </c>
      <c r="N447" s="4" t="n">
        <v>76.48</v>
      </c>
      <c r="O447" s="5">
        <f>(E447*N447)*1.35*1.05*1.03*1.08</f>
        <v/>
      </c>
      <c r="P447" s="4" t="n">
        <v>76.48</v>
      </c>
      <c r="Q447" s="5">
        <f>(E447*P447)*1.35*1.05*1.03*1.08</f>
        <v/>
      </c>
      <c r="R447" s="4" t="n">
        <v>76.48</v>
      </c>
      <c r="S447" s="5">
        <f>(E447*R447)*1.35*1.05*1.03*1.08</f>
        <v/>
      </c>
      <c r="T447" s="4" t="n">
        <v>76.48</v>
      </c>
      <c r="U447" s="5">
        <f>(E447*T447)*1.35*1.05*1.03*1.08</f>
        <v/>
      </c>
      <c r="V447" s="4">
        <f>F447+N447+P447+R447+T447</f>
        <v/>
      </c>
      <c r="W447" s="5">
        <f>M447+O447+Q447+S447+U447</f>
        <v/>
      </c>
    </row>
    <row r="448">
      <c r="A448" t="inlineStr">
        <is>
          <t>Oceana</t>
        </is>
      </c>
      <c r="B448" t="inlineStr">
        <is>
          <t>Quality Assurance/Safety Evaluator</t>
        </is>
      </c>
      <c r="C448" t="inlineStr">
        <is>
          <t>Non-SCA</t>
        </is>
      </c>
      <c r="D448" t="inlineStr">
        <is>
          <t>Exempt</t>
        </is>
      </c>
      <c r="E448" s="5" t="n">
        <v>75</v>
      </c>
      <c r="F448" s="4" t="n">
        <v>382.4</v>
      </c>
      <c r="G448" s="5">
        <f>E448*F448</f>
        <v/>
      </c>
      <c r="H448" s="5">
        <f>G448*0.35</f>
        <v/>
      </c>
      <c r="I448" s="5">
        <f>(G448+H448)*0.05</f>
        <v/>
      </c>
      <c r="J448" s="5">
        <f>(G448+H448+I448)*0.03</f>
        <v/>
      </c>
      <c r="K448" s="5">
        <f>G448+H448+I448+J448</f>
        <v/>
      </c>
      <c r="L448" s="5">
        <f>K448*0.08</f>
        <v/>
      </c>
      <c r="M448" s="5">
        <f>K448+L448</f>
        <v/>
      </c>
      <c r="N448" s="4" t="n">
        <v>76.48</v>
      </c>
      <c r="O448" s="5">
        <f>(E448*N448)*1.35*1.05*1.03*1.08</f>
        <v/>
      </c>
      <c r="P448" s="4" t="n">
        <v>76.48</v>
      </c>
      <c r="Q448" s="5">
        <f>(E448*P448)*1.35*1.05*1.03*1.08</f>
        <v/>
      </c>
      <c r="R448" s="4" t="n">
        <v>76.48</v>
      </c>
      <c r="S448" s="5">
        <f>(E448*R448)*1.35*1.05*1.03*1.08</f>
        <v/>
      </c>
      <c r="T448" s="4" t="n">
        <v>76.48</v>
      </c>
      <c r="U448" s="5">
        <f>(E448*T448)*1.35*1.05*1.03*1.08</f>
        <v/>
      </c>
      <c r="V448" s="4">
        <f>F448+N448+P448+R448+T448</f>
        <v/>
      </c>
      <c r="W448" s="5">
        <f>M448+O448+Q448+S448+U448</f>
        <v/>
      </c>
    </row>
    <row r="449">
      <c r="A449" t="inlineStr">
        <is>
          <t>Hefti</t>
        </is>
      </c>
      <c r="B449" t="inlineStr">
        <is>
          <t>Mission Coordinator</t>
        </is>
      </c>
      <c r="C449" t="inlineStr">
        <is>
          <t>Non-SCA</t>
        </is>
      </c>
      <c r="D449" t="inlineStr">
        <is>
          <t>Exempt</t>
        </is>
      </c>
      <c r="E449" s="5" t="n">
        <v>85</v>
      </c>
      <c r="F449" s="4" t="n">
        <v>5353.6</v>
      </c>
      <c r="G449" s="5">
        <f>E449*F449</f>
        <v/>
      </c>
      <c r="H449" s="5">
        <f>G449*0.35</f>
        <v/>
      </c>
      <c r="I449" s="5">
        <f>(G449+H449)*0.05</f>
        <v/>
      </c>
      <c r="J449" s="5">
        <f>(G449+H449+I449)*0.03</f>
        <v/>
      </c>
      <c r="K449" s="5">
        <f>G449+H449+I449+J449</f>
        <v/>
      </c>
      <c r="L449" s="5">
        <f>K449*0.08</f>
        <v/>
      </c>
      <c r="M449" s="5">
        <f>K449+L449</f>
        <v/>
      </c>
      <c r="N449" s="4" t="n">
        <v>1070.72</v>
      </c>
      <c r="O449" s="5">
        <f>(E449*N449)*1.35*1.05*1.03*1.08</f>
        <v/>
      </c>
      <c r="P449" s="4" t="n">
        <v>1070.72</v>
      </c>
      <c r="Q449" s="5">
        <f>(E449*P449)*1.35*1.05*1.03*1.08</f>
        <v/>
      </c>
      <c r="R449" s="4" t="n">
        <v>1070.72</v>
      </c>
      <c r="S449" s="5">
        <f>(E449*R449)*1.35*1.05*1.03*1.08</f>
        <v/>
      </c>
      <c r="T449" s="4" t="n">
        <v>1070.72</v>
      </c>
      <c r="U449" s="5">
        <f>(E449*T449)*1.35*1.05*1.03*1.08</f>
        <v/>
      </c>
      <c r="V449" s="4">
        <f>F449+N449+P449+R449+T449</f>
        <v/>
      </c>
      <c r="W449" s="5">
        <f>M449+O449+Q449+S449+U449</f>
        <v/>
      </c>
    </row>
    <row r="450">
      <c r="A450" t="inlineStr">
        <is>
          <t>Hefti</t>
        </is>
      </c>
      <c r="B450" t="inlineStr">
        <is>
          <t>Mission Coordinator, Senior</t>
        </is>
      </c>
      <c r="C450" t="inlineStr">
        <is>
          <t>Non-SCA</t>
        </is>
      </c>
      <c r="D450" t="inlineStr">
        <is>
          <t>Exempt</t>
        </is>
      </c>
      <c r="E450" s="5" t="n">
        <v>95</v>
      </c>
      <c r="F450" s="4" t="n">
        <v>1338.4</v>
      </c>
      <c r="G450" s="5">
        <f>E450*F450</f>
        <v/>
      </c>
      <c r="H450" s="5">
        <f>G450*0.35</f>
        <v/>
      </c>
      <c r="I450" s="5">
        <f>(G450+H450)*0.05</f>
        <v/>
      </c>
      <c r="J450" s="5">
        <f>(G450+H450+I450)*0.03</f>
        <v/>
      </c>
      <c r="K450" s="5">
        <f>G450+H450+I450+J450</f>
        <v/>
      </c>
      <c r="L450" s="5">
        <f>K450*0.08</f>
        <v/>
      </c>
      <c r="M450" s="5">
        <f>K450+L450</f>
        <v/>
      </c>
      <c r="N450" s="4" t="n">
        <v>267.68</v>
      </c>
      <c r="O450" s="5">
        <f>(E450*N450)*1.35*1.05*1.03*1.08</f>
        <v/>
      </c>
      <c r="P450" s="4" t="n">
        <v>267.68</v>
      </c>
      <c r="Q450" s="5">
        <f>(E450*P450)*1.35*1.05*1.03*1.08</f>
        <v/>
      </c>
      <c r="R450" s="4" t="n">
        <v>267.68</v>
      </c>
      <c r="S450" s="5">
        <f>(E450*R450)*1.35*1.05*1.03*1.08</f>
        <v/>
      </c>
      <c r="T450" s="4" t="n">
        <v>267.68</v>
      </c>
      <c r="U450" s="5">
        <f>(E450*T450)*1.35*1.05*1.03*1.08</f>
        <v/>
      </c>
      <c r="V450" s="4">
        <f>F450+N450+P450+R450+T450</f>
        <v/>
      </c>
      <c r="W450" s="5">
        <f>M450+O450+Q450+S450+U450</f>
        <v/>
      </c>
    </row>
    <row r="451">
      <c r="A451" t="inlineStr">
        <is>
          <t>Hefti</t>
        </is>
      </c>
      <c r="B451" t="inlineStr">
        <is>
          <t>Network Administrator III</t>
        </is>
      </c>
      <c r="C451" t="inlineStr">
        <is>
          <t>Non-SCA</t>
        </is>
      </c>
      <c r="D451" t="inlineStr">
        <is>
          <t>Exempt</t>
        </is>
      </c>
      <c r="E451" s="5" t="n">
        <v>80</v>
      </c>
      <c r="F451" s="4" t="n">
        <v>191.2</v>
      </c>
      <c r="G451" s="5">
        <f>E451*F451</f>
        <v/>
      </c>
      <c r="H451" s="5">
        <f>G451*0.35</f>
        <v/>
      </c>
      <c r="I451" s="5">
        <f>(G451+H451)*0.05</f>
        <v/>
      </c>
      <c r="J451" s="5">
        <f>(G451+H451+I451)*0.03</f>
        <v/>
      </c>
      <c r="K451" s="5">
        <f>G451+H451+I451+J451</f>
        <v/>
      </c>
      <c r="L451" s="5">
        <f>K451*0.08</f>
        <v/>
      </c>
      <c r="M451" s="5">
        <f>K451+L451</f>
        <v/>
      </c>
      <c r="N451" s="4" t="n">
        <v>38.24</v>
      </c>
      <c r="O451" s="5">
        <f>(E451*N451)*1.35*1.05*1.03*1.08</f>
        <v/>
      </c>
      <c r="P451" s="4" t="n">
        <v>38.24</v>
      </c>
      <c r="Q451" s="5">
        <f>(E451*P451)*1.35*1.05*1.03*1.08</f>
        <v/>
      </c>
      <c r="R451" s="4" t="n">
        <v>38.24</v>
      </c>
      <c r="S451" s="5">
        <f>(E451*R451)*1.35*1.05*1.03*1.08</f>
        <v/>
      </c>
      <c r="T451" s="4" t="n">
        <v>38.24</v>
      </c>
      <c r="U451" s="5">
        <f>(E451*T451)*1.35*1.05*1.03*1.08</f>
        <v/>
      </c>
      <c r="V451" s="4">
        <f>F451+N451+P451+R451+T451</f>
        <v/>
      </c>
      <c r="W451" s="5">
        <f>M451+O451+Q451+S451+U451</f>
        <v/>
      </c>
    </row>
    <row r="452">
      <c r="A452" t="inlineStr">
        <is>
          <t>Hefti</t>
        </is>
      </c>
      <c r="B452" t="inlineStr">
        <is>
          <t>Network Administrator IV</t>
        </is>
      </c>
      <c r="C452" t="inlineStr">
        <is>
          <t>Non-SCA</t>
        </is>
      </c>
      <c r="D452" t="inlineStr">
        <is>
          <t>Exempt</t>
        </is>
      </c>
      <c r="E452" s="5" t="n">
        <v>80</v>
      </c>
      <c r="F452" s="4" t="n">
        <v>8221.6</v>
      </c>
      <c r="G452" s="5">
        <f>E452*F452</f>
        <v/>
      </c>
      <c r="H452" s="5">
        <f>G452*0.35</f>
        <v/>
      </c>
      <c r="I452" s="5">
        <f>(G452+H452)*0.05</f>
        <v/>
      </c>
      <c r="J452" s="5">
        <f>(G452+H452+I452)*0.03</f>
        <v/>
      </c>
      <c r="K452" s="5">
        <f>G452+H452+I452+J452</f>
        <v/>
      </c>
      <c r="L452" s="5">
        <f>K452*0.08</f>
        <v/>
      </c>
      <c r="M452" s="5">
        <f>K452+L452</f>
        <v/>
      </c>
      <c r="N452" s="4" t="n">
        <v>1644.32</v>
      </c>
      <c r="O452" s="5">
        <f>(E452*N452)*1.35*1.05*1.03*1.08</f>
        <v/>
      </c>
      <c r="P452" s="4" t="n">
        <v>1644.32</v>
      </c>
      <c r="Q452" s="5">
        <f>(E452*P452)*1.35*1.05*1.03*1.08</f>
        <v/>
      </c>
      <c r="R452" s="4" t="n">
        <v>1644.32</v>
      </c>
      <c r="S452" s="5">
        <f>(E452*R452)*1.35*1.05*1.03*1.08</f>
        <v/>
      </c>
      <c r="T452" s="4" t="n">
        <v>1644.32</v>
      </c>
      <c r="U452" s="5">
        <f>(E452*T452)*1.35*1.05*1.03*1.08</f>
        <v/>
      </c>
      <c r="V452" s="4">
        <f>F452+N452+P452+R452+T452</f>
        <v/>
      </c>
      <c r="W452" s="5">
        <f>M452+O452+Q452+S452+U452</f>
        <v/>
      </c>
    </row>
    <row r="453">
      <c r="A453" t="inlineStr">
        <is>
          <t>Hefti</t>
        </is>
      </c>
      <c r="B453" t="inlineStr">
        <is>
          <t>Network Administrator V</t>
        </is>
      </c>
      <c r="C453" t="inlineStr">
        <is>
          <t>Non-SCA</t>
        </is>
      </c>
      <c r="D453" t="inlineStr">
        <is>
          <t>Exempt</t>
        </is>
      </c>
      <c r="E453" s="5" t="n">
        <v>80</v>
      </c>
      <c r="F453" s="4" t="n">
        <v>382.4</v>
      </c>
      <c r="G453" s="5">
        <f>E453*F453</f>
        <v/>
      </c>
      <c r="H453" s="5">
        <f>G453*0.35</f>
        <v/>
      </c>
      <c r="I453" s="5">
        <f>(G453+H453)*0.05</f>
        <v/>
      </c>
      <c r="J453" s="5">
        <f>(G453+H453+I453)*0.03</f>
        <v/>
      </c>
      <c r="K453" s="5">
        <f>G453+H453+I453+J453</f>
        <v/>
      </c>
      <c r="L453" s="5">
        <f>K453*0.08</f>
        <v/>
      </c>
      <c r="M453" s="5">
        <f>K453+L453</f>
        <v/>
      </c>
      <c r="N453" s="4" t="n">
        <v>76.48</v>
      </c>
      <c r="O453" s="5">
        <f>(E453*N453)*1.35*1.05*1.03*1.08</f>
        <v/>
      </c>
      <c r="P453" s="4" t="n">
        <v>76.48</v>
      </c>
      <c r="Q453" s="5">
        <f>(E453*P453)*1.35*1.05*1.03*1.08</f>
        <v/>
      </c>
      <c r="R453" s="4" t="n">
        <v>76.48</v>
      </c>
      <c r="S453" s="5">
        <f>(E453*R453)*1.35*1.05*1.03*1.08</f>
        <v/>
      </c>
      <c r="T453" s="4" t="n">
        <v>76.48</v>
      </c>
      <c r="U453" s="5">
        <f>(E453*T453)*1.35*1.05*1.03*1.08</f>
        <v/>
      </c>
      <c r="V453" s="4">
        <f>F453+N453+P453+R453+T453</f>
        <v/>
      </c>
      <c r="W453" s="5">
        <f>M453+O453+Q453+S453+U453</f>
        <v/>
      </c>
    </row>
    <row r="454">
      <c r="A454" t="inlineStr">
        <is>
          <t>Hefti</t>
        </is>
      </c>
      <c r="B454" t="inlineStr">
        <is>
          <t>Computer Operator IV</t>
        </is>
      </c>
      <c r="C454" t="inlineStr">
        <is>
          <t>SCA</t>
        </is>
      </c>
      <c r="D454" t="inlineStr">
        <is>
          <t>SCLS</t>
        </is>
      </c>
      <c r="E454" s="5" t="n">
        <v>80</v>
      </c>
      <c r="F454" s="4" t="n">
        <v>1147.2</v>
      </c>
      <c r="G454" s="5">
        <f>E454*F454</f>
        <v/>
      </c>
      <c r="H454" s="5">
        <f>G454*0.35</f>
        <v/>
      </c>
      <c r="I454" s="5">
        <f>(G454+H454)*0.05</f>
        <v/>
      </c>
      <c r="J454" s="5">
        <f>(G454+H454+I454)*0.03</f>
        <v/>
      </c>
      <c r="K454" s="5">
        <f>G454+H454+I454+J454</f>
        <v/>
      </c>
      <c r="L454" s="5">
        <f>K454*0.08</f>
        <v/>
      </c>
      <c r="M454" s="5">
        <f>K454+L454</f>
        <v/>
      </c>
      <c r="N454" s="4" t="n">
        <v>229.44</v>
      </c>
      <c r="O454" s="5">
        <f>(E454*N454)*1.35*1.05*1.03*1.08</f>
        <v/>
      </c>
      <c r="P454" s="4" t="n">
        <v>229.44</v>
      </c>
      <c r="Q454" s="5">
        <f>(E454*P454)*1.35*1.05*1.03*1.08</f>
        <v/>
      </c>
      <c r="R454" s="4" t="n">
        <v>229.44</v>
      </c>
      <c r="S454" s="5">
        <f>(E454*R454)*1.35*1.05*1.03*1.08</f>
        <v/>
      </c>
      <c r="T454" s="4" t="n">
        <v>229.44</v>
      </c>
      <c r="U454" s="5">
        <f>(E454*T454)*1.35*1.05*1.03*1.08</f>
        <v/>
      </c>
      <c r="V454" s="4">
        <f>F454+N454+P454+R454+T454</f>
        <v/>
      </c>
      <c r="W454" s="5">
        <f>M454+O454+Q454+S454+U454</f>
        <v/>
      </c>
    </row>
    <row r="455">
      <c r="A455" t="inlineStr">
        <is>
          <t>Hefti</t>
        </is>
      </c>
      <c r="B455" t="inlineStr">
        <is>
          <t>Tactical Data Link Analyst</t>
        </is>
      </c>
      <c r="C455" t="inlineStr">
        <is>
          <t>Non-SCA</t>
        </is>
      </c>
      <c r="D455" t="inlineStr">
        <is>
          <t>Exempt</t>
        </is>
      </c>
      <c r="E455" s="5" t="n">
        <v>75</v>
      </c>
      <c r="F455" s="4" t="n">
        <v>2676.8</v>
      </c>
      <c r="G455" s="5">
        <f>E455*F455</f>
        <v/>
      </c>
      <c r="H455" s="5">
        <f>G455*0.35</f>
        <v/>
      </c>
      <c r="I455" s="5">
        <f>(G455+H455)*0.05</f>
        <v/>
      </c>
      <c r="J455" s="5">
        <f>(G455+H455+I455)*0.03</f>
        <v/>
      </c>
      <c r="K455" s="5">
        <f>G455+H455+I455+J455</f>
        <v/>
      </c>
      <c r="L455" s="5">
        <f>K455*0.08</f>
        <v/>
      </c>
      <c r="M455" s="5">
        <f>K455+L455</f>
        <v/>
      </c>
      <c r="N455" s="4" t="n">
        <v>535.36</v>
      </c>
      <c r="O455" s="5">
        <f>(E455*N455)*1.35*1.05*1.03*1.08</f>
        <v/>
      </c>
      <c r="P455" s="4" t="n">
        <v>535.36</v>
      </c>
      <c r="Q455" s="5">
        <f>(E455*P455)*1.35*1.05*1.03*1.08</f>
        <v/>
      </c>
      <c r="R455" s="4" t="n">
        <v>535.36</v>
      </c>
      <c r="S455" s="5">
        <f>(E455*R455)*1.35*1.05*1.03*1.08</f>
        <v/>
      </c>
      <c r="T455" s="4" t="n">
        <v>535.36</v>
      </c>
      <c r="U455" s="5">
        <f>(E455*T455)*1.35*1.05*1.03*1.08</f>
        <v/>
      </c>
      <c r="V455" s="4">
        <f>F455+N455+P455+R455+T455</f>
        <v/>
      </c>
      <c r="W455" s="5">
        <f>M455+O455+Q455+S455+U455</f>
        <v/>
      </c>
    </row>
    <row r="456">
      <c r="A456" t="inlineStr">
        <is>
          <t>Hefti</t>
        </is>
      </c>
      <c r="B456" t="inlineStr">
        <is>
          <t>Electronics Technician II</t>
        </is>
      </c>
      <c r="C456" t="inlineStr">
        <is>
          <t>SCA</t>
        </is>
      </c>
      <c r="D456" t="inlineStr">
        <is>
          <t>CBA</t>
        </is>
      </c>
      <c r="E456" s="5" t="n">
        <v>80</v>
      </c>
      <c r="F456" s="4" t="n">
        <v>1338.4</v>
      </c>
      <c r="G456" s="5">
        <f>E456*F456</f>
        <v/>
      </c>
      <c r="H456" s="5">
        <f>G456*0.35</f>
        <v/>
      </c>
      <c r="I456" s="5">
        <f>(G456+H456)*0.05</f>
        <v/>
      </c>
      <c r="J456" s="5">
        <f>(G456+H456+I456)*0.03</f>
        <v/>
      </c>
      <c r="K456" s="5">
        <f>G456+H456+I456+J456</f>
        <v/>
      </c>
      <c r="L456" s="5">
        <f>K456*0.08</f>
        <v/>
      </c>
      <c r="M456" s="5">
        <f>K456+L456</f>
        <v/>
      </c>
      <c r="N456" s="4" t="n">
        <v>267.68</v>
      </c>
      <c r="O456" s="5">
        <f>(E456*N456)*1.35*1.05*1.03*1.08</f>
        <v/>
      </c>
      <c r="P456" s="4" t="n">
        <v>267.68</v>
      </c>
      <c r="Q456" s="5">
        <f>(E456*P456)*1.35*1.05*1.03*1.08</f>
        <v/>
      </c>
      <c r="R456" s="4" t="n">
        <v>267.68</v>
      </c>
      <c r="S456" s="5">
        <f>(E456*R456)*1.35*1.05*1.03*1.08</f>
        <v/>
      </c>
      <c r="T456" s="4" t="n">
        <v>267.68</v>
      </c>
      <c r="U456" s="5">
        <f>(E456*T456)*1.35*1.05*1.03*1.08</f>
        <v/>
      </c>
      <c r="V456" s="4">
        <f>F456+N456+P456+R456+T456</f>
        <v/>
      </c>
      <c r="W456" s="5">
        <f>M456+O456+Q456+S456+U456</f>
        <v/>
      </c>
    </row>
    <row r="457">
      <c r="A457" t="inlineStr">
        <is>
          <t>Hefti</t>
        </is>
      </c>
      <c r="B457" t="inlineStr">
        <is>
          <t>Engineering Technician IV</t>
        </is>
      </c>
      <c r="C457" t="inlineStr">
        <is>
          <t>SCA</t>
        </is>
      </c>
      <c r="D457" t="inlineStr">
        <is>
          <t>SCLS</t>
        </is>
      </c>
      <c r="E457" s="5" t="n">
        <v>80</v>
      </c>
      <c r="F457" s="4" t="n">
        <v>7074.400000000001</v>
      </c>
      <c r="G457" s="5">
        <f>E457*F457</f>
        <v/>
      </c>
      <c r="H457" s="5">
        <f>G457*0.35</f>
        <v/>
      </c>
      <c r="I457" s="5">
        <f>(G457+H457)*0.05</f>
        <v/>
      </c>
      <c r="J457" s="5">
        <f>(G457+H457+I457)*0.03</f>
        <v/>
      </c>
      <c r="K457" s="5">
        <f>G457+H457+I457+J457</f>
        <v/>
      </c>
      <c r="L457" s="5">
        <f>K457*0.08</f>
        <v/>
      </c>
      <c r="M457" s="5">
        <f>K457+L457</f>
        <v/>
      </c>
      <c r="N457" s="4" t="n">
        <v>1414.88</v>
      </c>
      <c r="O457" s="5">
        <f>(E457*N457)*1.35*1.05*1.03*1.08</f>
        <v/>
      </c>
      <c r="P457" s="4" t="n">
        <v>1414.88</v>
      </c>
      <c r="Q457" s="5">
        <f>(E457*P457)*1.35*1.05*1.03*1.08</f>
        <v/>
      </c>
      <c r="R457" s="4" t="n">
        <v>1414.88</v>
      </c>
      <c r="S457" s="5">
        <f>(E457*R457)*1.35*1.05*1.03*1.08</f>
        <v/>
      </c>
      <c r="T457" s="4" t="n">
        <v>1414.88</v>
      </c>
      <c r="U457" s="5">
        <f>(E457*T457)*1.35*1.05*1.03*1.08</f>
        <v/>
      </c>
      <c r="V457" s="4">
        <f>F457+N457+P457+R457+T457</f>
        <v/>
      </c>
      <c r="W457" s="5">
        <f>M457+O457+Q457+S457+U457</f>
        <v/>
      </c>
    </row>
    <row r="458">
      <c r="A458" t="inlineStr">
        <is>
          <t>Hefti</t>
        </is>
      </c>
      <c r="B458" t="inlineStr">
        <is>
          <t>Engineering Technician V</t>
        </is>
      </c>
      <c r="C458" t="inlineStr">
        <is>
          <t>SCA</t>
        </is>
      </c>
      <c r="D458" t="inlineStr">
        <is>
          <t>SCLS</t>
        </is>
      </c>
      <c r="E458" s="5" t="n">
        <v>80</v>
      </c>
      <c r="F458" s="4" t="n">
        <v>3632.8</v>
      </c>
      <c r="G458" s="5">
        <f>E458*F458</f>
        <v/>
      </c>
      <c r="H458" s="5">
        <f>G458*0.35</f>
        <v/>
      </c>
      <c r="I458" s="5">
        <f>(G458+H458)*0.05</f>
        <v/>
      </c>
      <c r="J458" s="5">
        <f>(G458+H458+I458)*0.03</f>
        <v/>
      </c>
      <c r="K458" s="5">
        <f>G458+H458+I458+J458</f>
        <v/>
      </c>
      <c r="L458" s="5">
        <f>K458*0.08</f>
        <v/>
      </c>
      <c r="M458" s="5">
        <f>K458+L458</f>
        <v/>
      </c>
      <c r="N458" s="4" t="n">
        <v>726.5600000000001</v>
      </c>
      <c r="O458" s="5">
        <f>(E458*N458)*1.35*1.05*1.03*1.08</f>
        <v/>
      </c>
      <c r="P458" s="4" t="n">
        <v>726.5600000000001</v>
      </c>
      <c r="Q458" s="5">
        <f>(E458*P458)*1.35*1.05*1.03*1.08</f>
        <v/>
      </c>
      <c r="R458" s="4" t="n">
        <v>726.5600000000001</v>
      </c>
      <c r="S458" s="5">
        <f>(E458*R458)*1.35*1.05*1.03*1.08</f>
        <v/>
      </c>
      <c r="T458" s="4" t="n">
        <v>726.5600000000001</v>
      </c>
      <c r="U458" s="5">
        <f>(E458*T458)*1.35*1.05*1.03*1.08</f>
        <v/>
      </c>
      <c r="V458" s="4">
        <f>F458+N458+P458+R458+T458</f>
        <v/>
      </c>
      <c r="W458" s="5">
        <f>M458+O458+Q458+S458+U458</f>
        <v/>
      </c>
    </row>
    <row r="459">
      <c r="A459" t="inlineStr">
        <is>
          <t>Hefti</t>
        </is>
      </c>
      <c r="B459" t="inlineStr">
        <is>
          <t>Maintenance Coordinator</t>
        </is>
      </c>
      <c r="C459" t="inlineStr">
        <is>
          <t>Non-SCA</t>
        </is>
      </c>
      <c r="D459" t="inlineStr">
        <is>
          <t>Exempt</t>
        </is>
      </c>
      <c r="E459" s="5" t="n">
        <v>80</v>
      </c>
      <c r="F459" s="4" t="n">
        <v>573.6</v>
      </c>
      <c r="G459" s="5">
        <f>E459*F459</f>
        <v/>
      </c>
      <c r="H459" s="5">
        <f>G459*0.35</f>
        <v/>
      </c>
      <c r="I459" s="5">
        <f>(G459+H459)*0.05</f>
        <v/>
      </c>
      <c r="J459" s="5">
        <f>(G459+H459+I459)*0.03</f>
        <v/>
      </c>
      <c r="K459" s="5">
        <f>G459+H459+I459+J459</f>
        <v/>
      </c>
      <c r="L459" s="5">
        <f>K459*0.08</f>
        <v/>
      </c>
      <c r="M459" s="5">
        <f>K459+L459</f>
        <v/>
      </c>
      <c r="N459" s="4" t="n">
        <v>114.72</v>
      </c>
      <c r="O459" s="5">
        <f>(E459*N459)*1.35*1.05*1.03*1.08</f>
        <v/>
      </c>
      <c r="P459" s="4" t="n">
        <v>114.72</v>
      </c>
      <c r="Q459" s="5">
        <f>(E459*P459)*1.35*1.05*1.03*1.08</f>
        <v/>
      </c>
      <c r="R459" s="4" t="n">
        <v>114.72</v>
      </c>
      <c r="S459" s="5">
        <f>(E459*R459)*1.35*1.05*1.03*1.08</f>
        <v/>
      </c>
      <c r="T459" s="4" t="n">
        <v>114.72</v>
      </c>
      <c r="U459" s="5">
        <f>(E459*T459)*1.35*1.05*1.03*1.08</f>
        <v/>
      </c>
      <c r="V459" s="4">
        <f>F459+N459+P459+R459+T459</f>
        <v/>
      </c>
      <c r="W459" s="5">
        <f>M459+O459+Q459+S459+U459</f>
        <v/>
      </c>
    </row>
    <row r="460">
      <c r="A460" t="inlineStr">
        <is>
          <t>Hefti</t>
        </is>
      </c>
      <c r="B460" t="inlineStr">
        <is>
          <t>Security Coordinator</t>
        </is>
      </c>
      <c r="C460" t="inlineStr">
        <is>
          <t>Non-SCA</t>
        </is>
      </c>
      <c r="D460" t="inlineStr">
        <is>
          <t>Exempt</t>
        </is>
      </c>
      <c r="E460" s="5" t="n">
        <v>70</v>
      </c>
      <c r="F460" s="4" t="n">
        <v>1529.6</v>
      </c>
      <c r="G460" s="5">
        <f>E460*F460</f>
        <v/>
      </c>
      <c r="H460" s="5">
        <f>G460*0.35</f>
        <v/>
      </c>
      <c r="I460" s="5">
        <f>(G460+H460)*0.05</f>
        <v/>
      </c>
      <c r="J460" s="5">
        <f>(G460+H460+I460)*0.03</f>
        <v/>
      </c>
      <c r="K460" s="5">
        <f>G460+H460+I460+J460</f>
        <v/>
      </c>
      <c r="L460" s="5">
        <f>K460*0.08</f>
        <v/>
      </c>
      <c r="M460" s="5">
        <f>K460+L460</f>
        <v/>
      </c>
      <c r="N460" s="4" t="n">
        <v>305.92</v>
      </c>
      <c r="O460" s="5">
        <f>(E460*N460)*1.35*1.05*1.03*1.08</f>
        <v/>
      </c>
      <c r="P460" s="4" t="n">
        <v>305.92</v>
      </c>
      <c r="Q460" s="5">
        <f>(E460*P460)*1.35*1.05*1.03*1.08</f>
        <v/>
      </c>
      <c r="R460" s="4" t="n">
        <v>305.92</v>
      </c>
      <c r="S460" s="5">
        <f>(E460*R460)*1.35*1.05*1.03*1.08</f>
        <v/>
      </c>
      <c r="T460" s="4" t="n">
        <v>305.92</v>
      </c>
      <c r="U460" s="5">
        <f>(E460*T460)*1.35*1.05*1.03*1.08</f>
        <v/>
      </c>
      <c r="V460" s="4">
        <f>F460+N460+P460+R460+T460</f>
        <v/>
      </c>
      <c r="W460" s="5">
        <f>M460+O460+Q460+S460+U460</f>
        <v/>
      </c>
    </row>
    <row r="461">
      <c r="A461" t="inlineStr">
        <is>
          <t>NCAMS</t>
        </is>
      </c>
      <c r="B461" t="inlineStr">
        <is>
          <t>Site Manager</t>
        </is>
      </c>
      <c r="C461" t="inlineStr">
        <is>
          <t>Non-SCA</t>
        </is>
      </c>
      <c r="D461" t="inlineStr">
        <is>
          <t>Exempt</t>
        </is>
      </c>
      <c r="E461" s="5" t="n">
        <v>95</v>
      </c>
      <c r="F461" s="4" t="n">
        <v>191.2</v>
      </c>
      <c r="G461" s="5">
        <f>E461*F461</f>
        <v/>
      </c>
      <c r="H461" s="5">
        <f>G461*0.35</f>
        <v/>
      </c>
      <c r="I461" s="5">
        <f>(G461+H461)*0.05</f>
        <v/>
      </c>
      <c r="J461" s="5">
        <f>(G461+H461+I461)*0.03</f>
        <v/>
      </c>
      <c r="K461" s="5">
        <f>G461+H461+I461+J461</f>
        <v/>
      </c>
      <c r="L461" s="5">
        <f>K461*0.08</f>
        <v/>
      </c>
      <c r="M461" s="5">
        <f>K461+L461</f>
        <v/>
      </c>
      <c r="N461" s="4" t="n">
        <v>38.24</v>
      </c>
      <c r="O461" s="5">
        <f>(E461*N461)*1.35*1.05*1.03*1.08</f>
        <v/>
      </c>
      <c r="P461" s="4" t="n">
        <v>38.24</v>
      </c>
      <c r="Q461" s="5">
        <f>(E461*P461)*1.35*1.05*1.03*1.08</f>
        <v/>
      </c>
      <c r="R461" s="4" t="n">
        <v>38.24</v>
      </c>
      <c r="S461" s="5">
        <f>(E461*R461)*1.35*1.05*1.03*1.08</f>
        <v/>
      </c>
      <c r="T461" s="4" t="n">
        <v>38.24</v>
      </c>
      <c r="U461" s="5">
        <f>(E461*T461)*1.35*1.05*1.03*1.08</f>
        <v/>
      </c>
      <c r="V461" s="4">
        <f>F461+N461+P461+R461+T461</f>
        <v/>
      </c>
      <c r="W461" s="5">
        <f>M461+O461+Q461+S461+U461</f>
        <v/>
      </c>
    </row>
    <row r="462">
      <c r="A462" t="inlineStr">
        <is>
          <t>NCAMS</t>
        </is>
      </c>
      <c r="B462" t="inlineStr">
        <is>
          <t>Technical Coordinator</t>
        </is>
      </c>
      <c r="C462" t="inlineStr">
        <is>
          <t>Non-SCA</t>
        </is>
      </c>
      <c r="D462" t="inlineStr">
        <is>
          <t>Exempt</t>
        </is>
      </c>
      <c r="E462" s="5" t="n">
        <v>80</v>
      </c>
      <c r="F462" s="4" t="n">
        <v>764.8000000000001</v>
      </c>
      <c r="G462" s="5">
        <f>E462*F462</f>
        <v/>
      </c>
      <c r="H462" s="5">
        <f>G462*0.35</f>
        <v/>
      </c>
      <c r="I462" s="5">
        <f>(G462+H462)*0.05</f>
        <v/>
      </c>
      <c r="J462" s="5">
        <f>(G462+H462+I462)*0.03</f>
        <v/>
      </c>
      <c r="K462" s="5">
        <f>G462+H462+I462+J462</f>
        <v/>
      </c>
      <c r="L462" s="5">
        <f>K462*0.08</f>
        <v/>
      </c>
      <c r="M462" s="5">
        <f>K462+L462</f>
        <v/>
      </c>
      <c r="N462" s="4" t="n">
        <v>152.96</v>
      </c>
      <c r="O462" s="5">
        <f>(E462*N462)*1.35*1.05*1.03*1.08</f>
        <v/>
      </c>
      <c r="P462" s="4" t="n">
        <v>152.96</v>
      </c>
      <c r="Q462" s="5">
        <f>(E462*P462)*1.35*1.05*1.03*1.08</f>
        <v/>
      </c>
      <c r="R462" s="4" t="n">
        <v>152.96</v>
      </c>
      <c r="S462" s="5">
        <f>(E462*R462)*1.35*1.05*1.03*1.08</f>
        <v/>
      </c>
      <c r="T462" s="4" t="n">
        <v>152.96</v>
      </c>
      <c r="U462" s="5">
        <f>(E462*T462)*1.35*1.05*1.03*1.08</f>
        <v/>
      </c>
      <c r="V462" s="4">
        <f>F462+N462+P462+R462+T462</f>
        <v/>
      </c>
      <c r="W462" s="5">
        <f>M462+O462+Q462+S462+U462</f>
        <v/>
      </c>
    </row>
    <row r="463">
      <c r="A463" t="inlineStr">
        <is>
          <t>NCAMS</t>
        </is>
      </c>
      <c r="B463" t="inlineStr">
        <is>
          <t>Operations Analyst</t>
        </is>
      </c>
      <c r="C463" t="inlineStr">
        <is>
          <t>Non-SCA</t>
        </is>
      </c>
      <c r="D463" t="inlineStr">
        <is>
          <t>Exempt</t>
        </is>
      </c>
      <c r="E463" s="5" t="n">
        <v>80</v>
      </c>
      <c r="F463" s="4" t="n">
        <v>191.2</v>
      </c>
      <c r="G463" s="5">
        <f>E463*F463</f>
        <v/>
      </c>
      <c r="H463" s="5">
        <f>G463*0.35</f>
        <v/>
      </c>
      <c r="I463" s="5">
        <f>(G463+H463)*0.05</f>
        <v/>
      </c>
      <c r="J463" s="5">
        <f>(G463+H463+I463)*0.03</f>
        <v/>
      </c>
      <c r="K463" s="5">
        <f>G463+H463+I463+J463</f>
        <v/>
      </c>
      <c r="L463" s="5">
        <f>K463*0.08</f>
        <v/>
      </c>
      <c r="M463" s="5">
        <f>K463+L463</f>
        <v/>
      </c>
      <c r="N463" s="4" t="n">
        <v>38.24</v>
      </c>
      <c r="O463" s="5">
        <f>(E463*N463)*1.35*1.05*1.03*1.08</f>
        <v/>
      </c>
      <c r="P463" s="4" t="n">
        <v>38.24</v>
      </c>
      <c r="Q463" s="5">
        <f>(E463*P463)*1.35*1.05*1.03*1.08</f>
        <v/>
      </c>
      <c r="R463" s="4" t="n">
        <v>38.24</v>
      </c>
      <c r="S463" s="5">
        <f>(E463*R463)*1.35*1.05*1.03*1.08</f>
        <v/>
      </c>
      <c r="T463" s="4" t="n">
        <v>38.24</v>
      </c>
      <c r="U463" s="5">
        <f>(E463*T463)*1.35*1.05*1.03*1.08</f>
        <v/>
      </c>
      <c r="V463" s="4">
        <f>F463+N463+P463+R463+T463</f>
        <v/>
      </c>
      <c r="W463" s="5">
        <f>M463+O463+Q463+S463+U463</f>
        <v/>
      </c>
    </row>
    <row r="464">
      <c r="A464" t="inlineStr">
        <is>
          <t>NCAMS</t>
        </is>
      </c>
      <c r="B464" t="inlineStr">
        <is>
          <t>Tactical Data Link Analyst</t>
        </is>
      </c>
      <c r="C464" t="inlineStr">
        <is>
          <t>Non-SCA</t>
        </is>
      </c>
      <c r="D464" t="inlineStr">
        <is>
          <t>Exempt</t>
        </is>
      </c>
      <c r="E464" s="5" t="n">
        <v>75</v>
      </c>
      <c r="F464" s="4" t="n">
        <v>191.2</v>
      </c>
      <c r="G464" s="5">
        <f>E464*F464</f>
        <v/>
      </c>
      <c r="H464" s="5">
        <f>G464*0.35</f>
        <v/>
      </c>
      <c r="I464" s="5">
        <f>(G464+H464)*0.05</f>
        <v/>
      </c>
      <c r="J464" s="5">
        <f>(G464+H464+I464)*0.03</f>
        <v/>
      </c>
      <c r="K464" s="5">
        <f>G464+H464+I464+J464</f>
        <v/>
      </c>
      <c r="L464" s="5">
        <f>K464*0.08</f>
        <v/>
      </c>
      <c r="M464" s="5">
        <f>K464+L464</f>
        <v/>
      </c>
      <c r="N464" s="4" t="n">
        <v>38.24</v>
      </c>
      <c r="O464" s="5">
        <f>(E464*N464)*1.35*1.05*1.03*1.08</f>
        <v/>
      </c>
      <c r="P464" s="4" t="n">
        <v>38.24</v>
      </c>
      <c r="Q464" s="5">
        <f>(E464*P464)*1.35*1.05*1.03*1.08</f>
        <v/>
      </c>
      <c r="R464" s="4" t="n">
        <v>38.24</v>
      </c>
      <c r="S464" s="5">
        <f>(E464*R464)*1.35*1.05*1.03*1.08</f>
        <v/>
      </c>
      <c r="T464" s="4" t="n">
        <v>38.24</v>
      </c>
      <c r="U464" s="5">
        <f>(E464*T464)*1.35*1.05*1.03*1.08</f>
        <v/>
      </c>
      <c r="V464" s="4">
        <f>F464+N464+P464+R464+T464</f>
        <v/>
      </c>
      <c r="W464" s="5">
        <f>M464+O464+Q464+S464+U464</f>
        <v/>
      </c>
    </row>
    <row r="465">
      <c r="A465" t="inlineStr">
        <is>
          <t>NCAMS</t>
        </is>
      </c>
      <c r="B465" t="inlineStr">
        <is>
          <t>Network Analyst IV</t>
        </is>
      </c>
      <c r="C465" t="inlineStr">
        <is>
          <t>Non-SCA</t>
        </is>
      </c>
      <c r="D465" t="inlineStr">
        <is>
          <t>Exempt</t>
        </is>
      </c>
      <c r="E465" s="5" t="n">
        <v>80</v>
      </c>
      <c r="F465" s="4" t="n">
        <v>382.4</v>
      </c>
      <c r="G465" s="5">
        <f>E465*F465</f>
        <v/>
      </c>
      <c r="H465" s="5">
        <f>G465*0.35</f>
        <v/>
      </c>
      <c r="I465" s="5">
        <f>(G465+H465)*0.05</f>
        <v/>
      </c>
      <c r="J465" s="5">
        <f>(G465+H465+I465)*0.03</f>
        <v/>
      </c>
      <c r="K465" s="5">
        <f>G465+H465+I465+J465</f>
        <v/>
      </c>
      <c r="L465" s="5">
        <f>K465*0.08</f>
        <v/>
      </c>
      <c r="M465" s="5">
        <f>K465+L465</f>
        <v/>
      </c>
      <c r="N465" s="4" t="n">
        <v>76.48</v>
      </c>
      <c r="O465" s="5">
        <f>(E465*N465)*1.35*1.05*1.03*1.08</f>
        <v/>
      </c>
      <c r="P465" s="4" t="n">
        <v>76.48</v>
      </c>
      <c r="Q465" s="5">
        <f>(E465*P465)*1.35*1.05*1.03*1.08</f>
        <v/>
      </c>
      <c r="R465" s="4" t="n">
        <v>76.48</v>
      </c>
      <c r="S465" s="5">
        <f>(E465*R465)*1.35*1.05*1.03*1.08</f>
        <v/>
      </c>
      <c r="T465" s="4" t="n">
        <v>76.48</v>
      </c>
      <c r="U465" s="5">
        <f>(E465*T465)*1.35*1.05*1.03*1.08</f>
        <v/>
      </c>
      <c r="V465" s="4">
        <f>F465+N465+P465+R465+T465</f>
        <v/>
      </c>
      <c r="W465" s="5">
        <f>M465+O465+Q465+S465+U465</f>
        <v/>
      </c>
    </row>
    <row r="466">
      <c r="A466" t="inlineStr">
        <is>
          <t>NCAMS</t>
        </is>
      </c>
      <c r="B466" t="inlineStr">
        <is>
          <t>Computer Systems Analyst II</t>
        </is>
      </c>
      <c r="C466" t="inlineStr">
        <is>
          <t>SCA</t>
        </is>
      </c>
      <c r="D466" t="inlineStr">
        <is>
          <t>SCLS</t>
        </is>
      </c>
      <c r="E466" s="5" t="n">
        <v>75</v>
      </c>
      <c r="F466" s="4" t="n">
        <v>382.4</v>
      </c>
      <c r="G466" s="5">
        <f>E466*F466</f>
        <v/>
      </c>
      <c r="H466" s="5">
        <f>G466*0.35</f>
        <v/>
      </c>
      <c r="I466" s="5">
        <f>(G466+H466)*0.05</f>
        <v/>
      </c>
      <c r="J466" s="5">
        <f>(G466+H466+I466)*0.03</f>
        <v/>
      </c>
      <c r="K466" s="5">
        <f>G466+H466+I466+J466</f>
        <v/>
      </c>
      <c r="L466" s="5">
        <f>K466*0.08</f>
        <v/>
      </c>
      <c r="M466" s="5">
        <f>K466+L466</f>
        <v/>
      </c>
      <c r="N466" s="4" t="n">
        <v>76.48</v>
      </c>
      <c r="O466" s="5">
        <f>(E466*N466)*1.35*1.05*1.03*1.08</f>
        <v/>
      </c>
      <c r="P466" s="4" t="n">
        <v>76.48</v>
      </c>
      <c r="Q466" s="5">
        <f>(E466*P466)*1.35*1.05*1.03*1.08</f>
        <v/>
      </c>
      <c r="R466" s="4" t="n">
        <v>76.48</v>
      </c>
      <c r="S466" s="5">
        <f>(E466*R466)*1.35*1.05*1.03*1.08</f>
        <v/>
      </c>
      <c r="T466" s="4" t="n">
        <v>76.48</v>
      </c>
      <c r="U466" s="5">
        <f>(E466*T466)*1.35*1.05*1.03*1.08</f>
        <v/>
      </c>
      <c r="V466" s="4">
        <f>F466+N466+P466+R466+T466</f>
        <v/>
      </c>
      <c r="W466" s="5">
        <f>M466+O466+Q466+S466+U466</f>
        <v/>
      </c>
    </row>
    <row r="467">
      <c r="A467" t="inlineStr">
        <is>
          <t>NCAMS</t>
        </is>
      </c>
      <c r="B467" t="inlineStr">
        <is>
          <t>Computer Operator IV</t>
        </is>
      </c>
      <c r="C467" t="inlineStr">
        <is>
          <t>SCA</t>
        </is>
      </c>
      <c r="D467" t="inlineStr">
        <is>
          <t>SCLS</t>
        </is>
      </c>
      <c r="E467" s="5" t="n">
        <v>23.82</v>
      </c>
      <c r="F467" s="4" t="n">
        <v>764.8000000000001</v>
      </c>
      <c r="G467" s="5">
        <f>E467*F467</f>
        <v/>
      </c>
      <c r="H467" s="5">
        <f>G467*0.35</f>
        <v/>
      </c>
      <c r="I467" s="5">
        <f>(G467+H467)*0.05</f>
        <v/>
      </c>
      <c r="J467" s="5">
        <f>(G467+H467+I467)*0.03</f>
        <v/>
      </c>
      <c r="K467" s="5">
        <f>G467+H467+I467+J467</f>
        <v/>
      </c>
      <c r="L467" s="5">
        <f>K467*0.08</f>
        <v/>
      </c>
      <c r="M467" s="5">
        <f>K467+L467</f>
        <v/>
      </c>
      <c r="N467" s="4" t="n">
        <v>152.96</v>
      </c>
      <c r="O467" s="5">
        <f>(E467*N467)*1.35*1.05*1.03*1.08</f>
        <v/>
      </c>
      <c r="P467" s="4" t="n">
        <v>152.96</v>
      </c>
      <c r="Q467" s="5">
        <f>(E467*P467)*1.35*1.05*1.03*1.08</f>
        <v/>
      </c>
      <c r="R467" s="4" t="n">
        <v>152.96</v>
      </c>
      <c r="S467" s="5">
        <f>(E467*R467)*1.35*1.05*1.03*1.08</f>
        <v/>
      </c>
      <c r="T467" s="4" t="n">
        <v>152.96</v>
      </c>
      <c r="U467" s="5">
        <f>(E467*T467)*1.35*1.05*1.03*1.08</f>
        <v/>
      </c>
      <c r="V467" s="4">
        <f>F467+N467+P467+R467+T467</f>
        <v/>
      </c>
      <c r="W467" s="5">
        <f>M467+O467+Q467+S467+U467</f>
        <v/>
      </c>
    </row>
    <row r="468">
      <c r="A468" t="inlineStr">
        <is>
          <t>TTGP</t>
        </is>
      </c>
      <c r="B468" t="inlineStr">
        <is>
          <t>Site Manager</t>
        </is>
      </c>
      <c r="C468" t="inlineStr">
        <is>
          <t>Non-SCA</t>
        </is>
      </c>
      <c r="D468" t="inlineStr">
        <is>
          <t>Exempt</t>
        </is>
      </c>
      <c r="E468" s="5" t="n">
        <v>95</v>
      </c>
      <c r="F468" s="4" t="n">
        <v>191.2</v>
      </c>
      <c r="G468" s="5">
        <f>E468*F468</f>
        <v/>
      </c>
      <c r="H468" s="5">
        <f>G468*0.35</f>
        <v/>
      </c>
      <c r="I468" s="5">
        <f>(G468+H468)*0.05</f>
        <v/>
      </c>
      <c r="J468" s="5">
        <f>(G468+H468+I468)*0.03</f>
        <v/>
      </c>
      <c r="K468" s="5">
        <f>G468+H468+I468+J468</f>
        <v/>
      </c>
      <c r="L468" s="5">
        <f>K468*0.08</f>
        <v/>
      </c>
      <c r="M468" s="5">
        <f>K468+L468</f>
        <v/>
      </c>
      <c r="N468" s="4" t="n">
        <v>38.24</v>
      </c>
      <c r="O468" s="5">
        <f>(E468*N468)*1.35*1.05*1.03*1.08</f>
        <v/>
      </c>
      <c r="P468" s="4" t="n">
        <v>38.24</v>
      </c>
      <c r="Q468" s="5">
        <f>(E468*P468)*1.35*1.05*1.03*1.08</f>
        <v/>
      </c>
      <c r="R468" s="4" t="n">
        <v>38.24</v>
      </c>
      <c r="S468" s="5">
        <f>(E468*R468)*1.35*1.05*1.03*1.08</f>
        <v/>
      </c>
      <c r="T468" s="4" t="n">
        <v>38.24</v>
      </c>
      <c r="U468" s="5">
        <f>(E468*T468)*1.35*1.05*1.03*1.08</f>
        <v/>
      </c>
      <c r="V468" s="4">
        <f>F468+N468+P468+R468+T468</f>
        <v/>
      </c>
      <c r="W468" s="5">
        <f>M468+O468+Q468+S468+U468</f>
        <v/>
      </c>
    </row>
    <row r="469">
      <c r="A469" t="inlineStr">
        <is>
          <t>TTGP</t>
        </is>
      </c>
      <c r="B469" t="inlineStr">
        <is>
          <t>Mission Coordinator, Senior</t>
        </is>
      </c>
      <c r="C469" t="inlineStr">
        <is>
          <t>Non-SCA</t>
        </is>
      </c>
      <c r="D469" t="inlineStr">
        <is>
          <t>Exempt</t>
        </is>
      </c>
      <c r="E469" s="5" t="n">
        <v>95</v>
      </c>
      <c r="F469" s="4" t="n">
        <v>191.2</v>
      </c>
      <c r="G469" s="5">
        <f>E469*F469</f>
        <v/>
      </c>
      <c r="H469" s="5">
        <f>G469*0.35</f>
        <v/>
      </c>
      <c r="I469" s="5">
        <f>(G469+H469)*0.05</f>
        <v/>
      </c>
      <c r="J469" s="5">
        <f>(G469+H469+I469)*0.03</f>
        <v/>
      </c>
      <c r="K469" s="5">
        <f>G469+H469+I469+J469</f>
        <v/>
      </c>
      <c r="L469" s="5">
        <f>K469*0.08</f>
        <v/>
      </c>
      <c r="M469" s="5">
        <f>K469+L469</f>
        <v/>
      </c>
      <c r="N469" s="4" t="n">
        <v>38.24</v>
      </c>
      <c r="O469" s="5">
        <f>(E469*N469)*1.35*1.05*1.03*1.08</f>
        <v/>
      </c>
      <c r="P469" s="4" t="n">
        <v>38.24</v>
      </c>
      <c r="Q469" s="5">
        <f>(E469*P469)*1.35*1.05*1.03*1.08</f>
        <v/>
      </c>
      <c r="R469" s="4" t="n">
        <v>38.24</v>
      </c>
      <c r="S469" s="5">
        <f>(E469*R469)*1.35*1.05*1.03*1.08</f>
        <v/>
      </c>
      <c r="T469" s="4" t="n">
        <v>38.24</v>
      </c>
      <c r="U469" s="5">
        <f>(E469*T469)*1.35*1.05*1.03*1.08</f>
        <v/>
      </c>
      <c r="V469" s="4">
        <f>F469+N469+P469+R469+T469</f>
        <v/>
      </c>
      <c r="W469" s="5">
        <f>M469+O469+Q469+S469+U469</f>
        <v/>
      </c>
    </row>
    <row r="470">
      <c r="A470" t="inlineStr">
        <is>
          <t>TTGP</t>
        </is>
      </c>
      <c r="B470" t="inlineStr">
        <is>
          <t>Mission Coordinator</t>
        </is>
      </c>
      <c r="C470" t="inlineStr">
        <is>
          <t>Non-SCA</t>
        </is>
      </c>
      <c r="D470" t="inlineStr">
        <is>
          <t>Exempt</t>
        </is>
      </c>
      <c r="E470" s="5" t="n">
        <v>85</v>
      </c>
      <c r="F470" s="4" t="n">
        <v>1912</v>
      </c>
      <c r="G470" s="5">
        <f>E470*F470</f>
        <v/>
      </c>
      <c r="H470" s="5">
        <f>G470*0.35</f>
        <v/>
      </c>
      <c r="I470" s="5">
        <f>(G470+H470)*0.05</f>
        <v/>
      </c>
      <c r="J470" s="5">
        <f>(G470+H470+I470)*0.03</f>
        <v/>
      </c>
      <c r="K470" s="5">
        <f>G470+H470+I470+J470</f>
        <v/>
      </c>
      <c r="L470" s="5">
        <f>K470*0.08</f>
        <v/>
      </c>
      <c r="M470" s="5">
        <f>K470+L470</f>
        <v/>
      </c>
      <c r="N470" s="4" t="n">
        <v>382.4</v>
      </c>
      <c r="O470" s="5">
        <f>(E470*N470)*1.35*1.05*1.03*1.08</f>
        <v/>
      </c>
      <c r="P470" s="4" t="n">
        <v>382.4</v>
      </c>
      <c r="Q470" s="5">
        <f>(E470*P470)*1.35*1.05*1.03*1.08</f>
        <v/>
      </c>
      <c r="R470" s="4" t="n">
        <v>382.4</v>
      </c>
      <c r="S470" s="5">
        <f>(E470*R470)*1.35*1.05*1.03*1.08</f>
        <v/>
      </c>
      <c r="T470" s="4" t="n">
        <v>382.4</v>
      </c>
      <c r="U470" s="5">
        <f>(E470*T470)*1.35*1.05*1.03*1.08</f>
        <v/>
      </c>
      <c r="V470" s="4">
        <f>F470+N470+P470+R470+T470</f>
        <v/>
      </c>
      <c r="W470" s="5">
        <f>M470+O470+Q470+S470+U470</f>
        <v/>
      </c>
    </row>
    <row r="471">
      <c r="A471" t="inlineStr">
        <is>
          <t>TTGP</t>
        </is>
      </c>
      <c r="B471" t="inlineStr">
        <is>
          <t>Network Administrator III</t>
        </is>
      </c>
      <c r="C471" t="inlineStr">
        <is>
          <t>Non-SCA</t>
        </is>
      </c>
      <c r="D471" t="inlineStr">
        <is>
          <t>Exempt</t>
        </is>
      </c>
      <c r="E471" s="5" t="n">
        <v>80</v>
      </c>
      <c r="F471" s="4" t="n">
        <v>1338.4</v>
      </c>
      <c r="G471" s="5">
        <f>E471*F471</f>
        <v/>
      </c>
      <c r="H471" s="5">
        <f>G471*0.35</f>
        <v/>
      </c>
      <c r="I471" s="5">
        <f>(G471+H471)*0.05</f>
        <v/>
      </c>
      <c r="J471" s="5">
        <f>(G471+H471+I471)*0.03</f>
        <v/>
      </c>
      <c r="K471" s="5">
        <f>G471+H471+I471+J471</f>
        <v/>
      </c>
      <c r="L471" s="5">
        <f>K471*0.08</f>
        <v/>
      </c>
      <c r="M471" s="5">
        <f>K471+L471</f>
        <v/>
      </c>
      <c r="N471" s="4" t="n">
        <v>267.68</v>
      </c>
      <c r="O471" s="5">
        <f>(E471*N471)*1.35*1.05*1.03*1.08</f>
        <v/>
      </c>
      <c r="P471" s="4" t="n">
        <v>267.68</v>
      </c>
      <c r="Q471" s="5">
        <f>(E471*P471)*1.35*1.05*1.03*1.08</f>
        <v/>
      </c>
      <c r="R471" s="4" t="n">
        <v>267.68</v>
      </c>
      <c r="S471" s="5">
        <f>(E471*R471)*1.35*1.05*1.03*1.08</f>
        <v/>
      </c>
      <c r="T471" s="4" t="n">
        <v>267.68</v>
      </c>
      <c r="U471" s="5">
        <f>(E471*T471)*1.35*1.05*1.03*1.08</f>
        <v/>
      </c>
      <c r="V471" s="4">
        <f>F471+N471+P471+R471+T471</f>
        <v/>
      </c>
      <c r="W471" s="5">
        <f>M471+O471+Q471+S471+U471</f>
        <v/>
      </c>
    </row>
    <row r="472">
      <c r="A472" t="inlineStr">
        <is>
          <t>TTGP</t>
        </is>
      </c>
      <c r="B472" t="inlineStr">
        <is>
          <t>Network Administrator IV</t>
        </is>
      </c>
      <c r="C472" t="inlineStr">
        <is>
          <t>Non-SCA</t>
        </is>
      </c>
      <c r="D472" t="inlineStr">
        <is>
          <t>Exempt</t>
        </is>
      </c>
      <c r="E472" s="5" t="n">
        <v>80</v>
      </c>
      <c r="F472" s="4" t="n">
        <v>4015.2</v>
      </c>
      <c r="G472" s="5">
        <f>E472*F472</f>
        <v/>
      </c>
      <c r="H472" s="5">
        <f>G472*0.35</f>
        <v/>
      </c>
      <c r="I472" s="5">
        <f>(G472+H472)*0.05</f>
        <v/>
      </c>
      <c r="J472" s="5">
        <f>(G472+H472+I472)*0.03</f>
        <v/>
      </c>
      <c r="K472" s="5">
        <f>G472+H472+I472+J472</f>
        <v/>
      </c>
      <c r="L472" s="5">
        <f>K472*0.08</f>
        <v/>
      </c>
      <c r="M472" s="5">
        <f>K472+L472</f>
        <v/>
      </c>
      <c r="N472" s="4" t="n">
        <v>803.04</v>
      </c>
      <c r="O472" s="5">
        <f>(E472*N472)*1.35*1.05*1.03*1.08</f>
        <v/>
      </c>
      <c r="P472" s="4" t="n">
        <v>803.04</v>
      </c>
      <c r="Q472" s="5">
        <f>(E472*P472)*1.35*1.05*1.03*1.08</f>
        <v/>
      </c>
      <c r="R472" s="4" t="n">
        <v>803.04</v>
      </c>
      <c r="S472" s="5">
        <f>(E472*R472)*1.35*1.05*1.03*1.08</f>
        <v/>
      </c>
      <c r="T472" s="4" t="n">
        <v>803.04</v>
      </c>
      <c r="U472" s="5">
        <f>(E472*T472)*1.35*1.05*1.03*1.08</f>
        <v/>
      </c>
      <c r="V472" s="4">
        <f>F472+N472+P472+R472+T472</f>
        <v/>
      </c>
      <c r="W472" s="5">
        <f>M472+O472+Q472+S472+U472</f>
        <v/>
      </c>
    </row>
    <row r="473">
      <c r="A473" t="inlineStr">
        <is>
          <t>TTGP</t>
        </is>
      </c>
      <c r="B473" t="inlineStr">
        <is>
          <t>Network Administrator V</t>
        </is>
      </c>
      <c r="C473" t="inlineStr">
        <is>
          <t>Non-SCA</t>
        </is>
      </c>
      <c r="D473" t="inlineStr">
        <is>
          <t>Exempt</t>
        </is>
      </c>
      <c r="E473" s="5" t="n">
        <v>80</v>
      </c>
      <c r="F473" s="4" t="n">
        <v>764.8000000000001</v>
      </c>
      <c r="G473" s="5">
        <f>E473*F473</f>
        <v/>
      </c>
      <c r="H473" s="5">
        <f>G473*0.35</f>
        <v/>
      </c>
      <c r="I473" s="5">
        <f>(G473+H473)*0.05</f>
        <v/>
      </c>
      <c r="J473" s="5">
        <f>(G473+H473+I473)*0.03</f>
        <v/>
      </c>
      <c r="K473" s="5">
        <f>G473+H473+I473+J473</f>
        <v/>
      </c>
      <c r="L473" s="5">
        <f>K473*0.08</f>
        <v/>
      </c>
      <c r="M473" s="5">
        <f>K473+L473</f>
        <v/>
      </c>
      <c r="N473" s="4" t="n">
        <v>152.96</v>
      </c>
      <c r="O473" s="5">
        <f>(E473*N473)*1.35*1.05*1.03*1.08</f>
        <v/>
      </c>
      <c r="P473" s="4" t="n">
        <v>152.96</v>
      </c>
      <c r="Q473" s="5">
        <f>(E473*P473)*1.35*1.05*1.03*1.08</f>
        <v/>
      </c>
      <c r="R473" s="4" t="n">
        <v>152.96</v>
      </c>
      <c r="S473" s="5">
        <f>(E473*R473)*1.35*1.05*1.03*1.08</f>
        <v/>
      </c>
      <c r="T473" s="4" t="n">
        <v>152.96</v>
      </c>
      <c r="U473" s="5">
        <f>(E473*T473)*1.35*1.05*1.03*1.08</f>
        <v/>
      </c>
      <c r="V473" s="4">
        <f>F473+N473+P473+R473+T473</f>
        <v/>
      </c>
      <c r="W473" s="5">
        <f>M473+O473+Q473+S473+U473</f>
        <v/>
      </c>
    </row>
    <row r="474">
      <c r="A474" t="inlineStr">
        <is>
          <t>TTGP</t>
        </is>
      </c>
      <c r="B474" t="inlineStr">
        <is>
          <t>Engineering Technician III</t>
        </is>
      </c>
      <c r="C474" t="inlineStr">
        <is>
          <t>SCA</t>
        </is>
      </c>
      <c r="D474" t="inlineStr">
        <is>
          <t>CBA</t>
        </is>
      </c>
      <c r="E474" s="5" t="n">
        <v>80</v>
      </c>
      <c r="F474" s="4" t="n">
        <v>1338.4</v>
      </c>
      <c r="G474" s="5">
        <f>E474*F474</f>
        <v/>
      </c>
      <c r="H474" s="5">
        <f>G474*0.35</f>
        <v/>
      </c>
      <c r="I474" s="5">
        <f>(G474+H474)*0.05</f>
        <v/>
      </c>
      <c r="J474" s="5">
        <f>(G474+H474+I474)*0.03</f>
        <v/>
      </c>
      <c r="K474" s="5">
        <f>G474+H474+I474+J474</f>
        <v/>
      </c>
      <c r="L474" s="5">
        <f>K474*0.08</f>
        <v/>
      </c>
      <c r="M474" s="5">
        <f>K474+L474</f>
        <v/>
      </c>
      <c r="N474" s="4" t="n">
        <v>267.68</v>
      </c>
      <c r="O474" s="5">
        <f>(E474*N474)*1.35*1.05*1.03*1.08</f>
        <v/>
      </c>
      <c r="P474" s="4" t="n">
        <v>267.68</v>
      </c>
      <c r="Q474" s="5">
        <f>(E474*P474)*1.35*1.05*1.03*1.08</f>
        <v/>
      </c>
      <c r="R474" s="4" t="n">
        <v>267.68</v>
      </c>
      <c r="S474" s="5">
        <f>(E474*R474)*1.35*1.05*1.03*1.08</f>
        <v/>
      </c>
      <c r="T474" s="4" t="n">
        <v>267.68</v>
      </c>
      <c r="U474" s="5">
        <f>(E474*T474)*1.35*1.05*1.03*1.08</f>
        <v/>
      </c>
      <c r="V474" s="4">
        <f>F474+N474+P474+R474+T474</f>
        <v/>
      </c>
      <c r="W474" s="5">
        <f>M474+O474+Q474+S474+U474</f>
        <v/>
      </c>
    </row>
    <row r="475">
      <c r="A475" t="inlineStr">
        <is>
          <t>MTEN - 29 Palms</t>
        </is>
      </c>
      <c r="B475" t="inlineStr">
        <is>
          <t>Cybersecurity Analyst III</t>
        </is>
      </c>
      <c r="C475" t="inlineStr">
        <is>
          <t>Non-SCA</t>
        </is>
      </c>
      <c r="D475" t="inlineStr">
        <is>
          <t>Exempt</t>
        </is>
      </c>
      <c r="E475" s="5" t="n">
        <v>80</v>
      </c>
      <c r="F475" s="4" t="n">
        <v>63.73333333333334</v>
      </c>
      <c r="G475" s="5">
        <f>E475*F475</f>
        <v/>
      </c>
      <c r="H475" s="5">
        <f>G475*0.35</f>
        <v/>
      </c>
      <c r="I475" s="5">
        <f>(G475+H475)*0.05</f>
        <v/>
      </c>
      <c r="J475" s="5">
        <f>(G475+H475+I475)*0.03</f>
        <v/>
      </c>
      <c r="K475" s="5">
        <f>G475+H475+I475+J475</f>
        <v/>
      </c>
      <c r="L475" s="5">
        <f>K475*0.08</f>
        <v/>
      </c>
      <c r="M475" s="5">
        <f>K475+L475</f>
        <v/>
      </c>
      <c r="N475" s="4" t="n">
        <v>12.74666666666667</v>
      </c>
      <c r="O475" s="5">
        <f>(E475*N475)*1.35*1.05*1.03*1.08</f>
        <v/>
      </c>
      <c r="P475" s="4" t="n">
        <v>12.74666666666667</v>
      </c>
      <c r="Q475" s="5">
        <f>(E475*P475)*1.35*1.05*1.03*1.08</f>
        <v/>
      </c>
      <c r="R475" s="4" t="n">
        <v>12.74666666666667</v>
      </c>
      <c r="S475" s="5">
        <f>(E475*R475)*1.35*1.05*1.03*1.08</f>
        <v/>
      </c>
      <c r="T475" s="4" t="n">
        <v>12.74666666666667</v>
      </c>
      <c r="U475" s="5">
        <f>(E475*T475)*1.35*1.05*1.03*1.08</f>
        <v/>
      </c>
      <c r="V475" s="4">
        <f>F475+N475+P475+R475+T475</f>
        <v/>
      </c>
      <c r="W475" s="5">
        <f>M475+O475+Q475+S475+U475</f>
        <v/>
      </c>
    </row>
    <row r="476">
      <c r="A476" t="inlineStr">
        <is>
          <t>MTEN - 29 Palms</t>
        </is>
      </c>
      <c r="B476" t="inlineStr">
        <is>
          <t>Cybersecurity Analyst IV</t>
        </is>
      </c>
      <c r="C476" t="inlineStr">
        <is>
          <t>Non-SCA</t>
        </is>
      </c>
      <c r="D476" t="inlineStr">
        <is>
          <t>Exempt</t>
        </is>
      </c>
      <c r="E476" s="5" t="n">
        <v>80</v>
      </c>
      <c r="F476" s="4" t="n">
        <v>63.73333333333334</v>
      </c>
      <c r="G476" s="5">
        <f>E476*F476</f>
        <v/>
      </c>
      <c r="H476" s="5">
        <f>G476*0.35</f>
        <v/>
      </c>
      <c r="I476" s="5">
        <f>(G476+H476)*0.05</f>
        <v/>
      </c>
      <c r="J476" s="5">
        <f>(G476+H476+I476)*0.03</f>
        <v/>
      </c>
      <c r="K476" s="5">
        <f>G476+H476+I476+J476</f>
        <v/>
      </c>
      <c r="L476" s="5">
        <f>K476*0.08</f>
        <v/>
      </c>
      <c r="M476" s="5">
        <f>K476+L476</f>
        <v/>
      </c>
      <c r="N476" s="4" t="n">
        <v>12.74666666666667</v>
      </c>
      <c r="O476" s="5">
        <f>(E476*N476)*1.35*1.05*1.03*1.08</f>
        <v/>
      </c>
      <c r="P476" s="4" t="n">
        <v>12.74666666666667</v>
      </c>
      <c r="Q476" s="5">
        <f>(E476*P476)*1.35*1.05*1.03*1.08</f>
        <v/>
      </c>
      <c r="R476" s="4" t="n">
        <v>12.74666666666667</v>
      </c>
      <c r="S476" s="5">
        <f>(E476*R476)*1.35*1.05*1.03*1.08</f>
        <v/>
      </c>
      <c r="T476" s="4" t="n">
        <v>12.74666666666667</v>
      </c>
      <c r="U476" s="5">
        <f>(E476*T476)*1.35*1.05*1.03*1.08</f>
        <v/>
      </c>
      <c r="V476" s="4">
        <f>F476+N476+P476+R476+T476</f>
        <v/>
      </c>
      <c r="W476" s="5">
        <f>M476+O476+Q476+S476+U476</f>
        <v/>
      </c>
    </row>
    <row r="477">
      <c r="A477" t="inlineStr">
        <is>
          <t>MTEN - 29 Palms</t>
        </is>
      </c>
      <c r="B477" t="inlineStr">
        <is>
          <t>Mission Coordinator</t>
        </is>
      </c>
      <c r="C477" t="inlineStr">
        <is>
          <t>Non-SCA</t>
        </is>
      </c>
      <c r="D477" t="inlineStr">
        <is>
          <t>Exempt</t>
        </is>
      </c>
      <c r="E477" s="5" t="n">
        <v>85</v>
      </c>
      <c r="F477" s="4" t="n">
        <v>223.0666666666667</v>
      </c>
      <c r="G477" s="5">
        <f>E477*F477</f>
        <v/>
      </c>
      <c r="H477" s="5">
        <f>G477*0.35</f>
        <v/>
      </c>
      <c r="I477" s="5">
        <f>(G477+H477)*0.05</f>
        <v/>
      </c>
      <c r="J477" s="5">
        <f>(G477+H477+I477)*0.03</f>
        <v/>
      </c>
      <c r="K477" s="5">
        <f>G477+H477+I477+J477</f>
        <v/>
      </c>
      <c r="L477" s="5">
        <f>K477*0.08</f>
        <v/>
      </c>
      <c r="M477" s="5">
        <f>K477+L477</f>
        <v/>
      </c>
      <c r="N477" s="4" t="n">
        <v>44.61333333333334</v>
      </c>
      <c r="O477" s="5">
        <f>(E477*N477)*1.35*1.05*1.03*1.08</f>
        <v/>
      </c>
      <c r="P477" s="4" t="n">
        <v>44.61333333333334</v>
      </c>
      <c r="Q477" s="5">
        <f>(E477*P477)*1.35*1.05*1.03*1.08</f>
        <v/>
      </c>
      <c r="R477" s="4" t="n">
        <v>44.61333333333334</v>
      </c>
      <c r="S477" s="5">
        <f>(E477*R477)*1.35*1.05*1.03*1.08</f>
        <v/>
      </c>
      <c r="T477" s="4" t="n">
        <v>44.61333333333334</v>
      </c>
      <c r="U477" s="5">
        <f>(E477*T477)*1.35*1.05*1.03*1.08</f>
        <v/>
      </c>
      <c r="V477" s="4">
        <f>F477+N477+P477+R477+T477</f>
        <v/>
      </c>
      <c r="W477" s="5">
        <f>M477+O477+Q477+S477+U477</f>
        <v/>
      </c>
    </row>
    <row r="478">
      <c r="A478" t="inlineStr">
        <is>
          <t>MTEN - 29 Palms</t>
        </is>
      </c>
      <c r="B478" t="inlineStr">
        <is>
          <t>Network Administrator III</t>
        </is>
      </c>
      <c r="C478" t="inlineStr">
        <is>
          <t>Non-SCA</t>
        </is>
      </c>
      <c r="D478" t="inlineStr">
        <is>
          <t>Exempt</t>
        </is>
      </c>
      <c r="E478" s="5" t="n">
        <v>80</v>
      </c>
      <c r="F478" s="4" t="n">
        <v>127.4666666666667</v>
      </c>
      <c r="G478" s="5">
        <f>E478*F478</f>
        <v/>
      </c>
      <c r="H478" s="5">
        <f>G478*0.35</f>
        <v/>
      </c>
      <c r="I478" s="5">
        <f>(G478+H478)*0.05</f>
        <v/>
      </c>
      <c r="J478" s="5">
        <f>(G478+H478+I478)*0.03</f>
        <v/>
      </c>
      <c r="K478" s="5">
        <f>G478+H478+I478+J478</f>
        <v/>
      </c>
      <c r="L478" s="5">
        <f>K478*0.08</f>
        <v/>
      </c>
      <c r="M478" s="5">
        <f>K478+L478</f>
        <v/>
      </c>
      <c r="N478" s="4" t="n">
        <v>25.49333333333334</v>
      </c>
      <c r="O478" s="5">
        <f>(E478*N478)*1.35*1.05*1.03*1.08</f>
        <v/>
      </c>
      <c r="P478" s="4" t="n">
        <v>25.49333333333334</v>
      </c>
      <c r="Q478" s="5">
        <f>(E478*P478)*1.35*1.05*1.03*1.08</f>
        <v/>
      </c>
      <c r="R478" s="4" t="n">
        <v>25.49333333333334</v>
      </c>
      <c r="S478" s="5">
        <f>(E478*R478)*1.35*1.05*1.03*1.08</f>
        <v/>
      </c>
      <c r="T478" s="4" t="n">
        <v>25.49333333333334</v>
      </c>
      <c r="U478" s="5">
        <f>(E478*T478)*1.35*1.05*1.03*1.08</f>
        <v/>
      </c>
      <c r="V478" s="4">
        <f>F478+N478+P478+R478+T478</f>
        <v/>
      </c>
      <c r="W478" s="5">
        <f>M478+O478+Q478+S478+U478</f>
        <v/>
      </c>
    </row>
    <row r="479">
      <c r="A479" t="inlineStr">
        <is>
          <t>MTEN - 29 Palms</t>
        </is>
      </c>
      <c r="B479" t="inlineStr">
        <is>
          <t>Network Administrator IV</t>
        </is>
      </c>
      <c r="C479" t="inlineStr">
        <is>
          <t>Non-SCA</t>
        </is>
      </c>
      <c r="D479" t="inlineStr">
        <is>
          <t>Exempt</t>
        </is>
      </c>
      <c r="E479" s="5" t="n">
        <v>80</v>
      </c>
      <c r="F479" s="4" t="n">
        <v>573.5999999999999</v>
      </c>
      <c r="G479" s="5">
        <f>E479*F479</f>
        <v/>
      </c>
      <c r="H479" s="5">
        <f>G479*0.35</f>
        <v/>
      </c>
      <c r="I479" s="5">
        <f>(G479+H479)*0.05</f>
        <v/>
      </c>
      <c r="J479" s="5">
        <f>(G479+H479+I479)*0.03</f>
        <v/>
      </c>
      <c r="K479" s="5">
        <f>G479+H479+I479+J479</f>
        <v/>
      </c>
      <c r="L479" s="5">
        <f>K479*0.08</f>
        <v/>
      </c>
      <c r="M479" s="5">
        <f>K479+L479</f>
        <v/>
      </c>
      <c r="N479" s="4" t="n">
        <v>114.72</v>
      </c>
      <c r="O479" s="5">
        <f>(E479*N479)*1.35*1.05*1.03*1.08</f>
        <v/>
      </c>
      <c r="P479" s="4" t="n">
        <v>114.72</v>
      </c>
      <c r="Q479" s="5">
        <f>(E479*P479)*1.35*1.05*1.03*1.08</f>
        <v/>
      </c>
      <c r="R479" s="4" t="n">
        <v>114.72</v>
      </c>
      <c r="S479" s="5">
        <f>(E479*R479)*1.35*1.05*1.03*1.08</f>
        <v/>
      </c>
      <c r="T479" s="4" t="n">
        <v>114.72</v>
      </c>
      <c r="U479" s="5">
        <f>(E479*T479)*1.35*1.05*1.03*1.08</f>
        <v/>
      </c>
      <c r="V479" s="4">
        <f>F479+N479+P479+R479+T479</f>
        <v/>
      </c>
      <c r="W479" s="5">
        <f>M479+O479+Q479+S479+U479</f>
        <v/>
      </c>
    </row>
    <row r="480">
      <c r="A480" t="inlineStr">
        <is>
          <t>MTEN - 29 Palms</t>
        </is>
      </c>
      <c r="B480" t="inlineStr">
        <is>
          <t>Network Engineer IV</t>
        </is>
      </c>
      <c r="C480" t="inlineStr">
        <is>
          <t>Non-SCA</t>
        </is>
      </c>
      <c r="D480" t="inlineStr">
        <is>
          <t>Exempt</t>
        </is>
      </c>
      <c r="E480" s="5" t="n">
        <v>95</v>
      </c>
      <c r="F480" s="4" t="n">
        <v>223.0666666666667</v>
      </c>
      <c r="G480" s="5">
        <f>E480*F480</f>
        <v/>
      </c>
      <c r="H480" s="5">
        <f>G480*0.35</f>
        <v/>
      </c>
      <c r="I480" s="5">
        <f>(G480+H480)*0.05</f>
        <v/>
      </c>
      <c r="J480" s="5">
        <f>(G480+H480+I480)*0.03</f>
        <v/>
      </c>
      <c r="K480" s="5">
        <f>G480+H480+I480+J480</f>
        <v/>
      </c>
      <c r="L480" s="5">
        <f>K480*0.08</f>
        <v/>
      </c>
      <c r="M480" s="5">
        <f>K480+L480</f>
        <v/>
      </c>
      <c r="N480" s="4" t="n">
        <v>44.61333333333334</v>
      </c>
      <c r="O480" s="5">
        <f>(E480*N480)*1.35*1.05*1.03*1.08</f>
        <v/>
      </c>
      <c r="P480" s="4" t="n">
        <v>44.61333333333334</v>
      </c>
      <c r="Q480" s="5">
        <f>(E480*P480)*1.35*1.05*1.03*1.08</f>
        <v/>
      </c>
      <c r="R480" s="4" t="n">
        <v>44.61333333333334</v>
      </c>
      <c r="S480" s="5">
        <f>(E480*R480)*1.35*1.05*1.03*1.08</f>
        <v/>
      </c>
      <c r="T480" s="4" t="n">
        <v>44.61333333333334</v>
      </c>
      <c r="U480" s="5">
        <f>(E480*T480)*1.35*1.05*1.03*1.08</f>
        <v/>
      </c>
      <c r="V480" s="4">
        <f>F480+N480+P480+R480+T480</f>
        <v/>
      </c>
      <c r="W480" s="5">
        <f>M480+O480+Q480+S480+U480</f>
        <v/>
      </c>
    </row>
    <row r="481">
      <c r="A481" t="inlineStr">
        <is>
          <t>MTEN - 29 Palms</t>
        </is>
      </c>
      <c r="B481" t="inlineStr">
        <is>
          <t>Tactical Data Link Analyst</t>
        </is>
      </c>
      <c r="C481" t="inlineStr">
        <is>
          <t>Non-SCA</t>
        </is>
      </c>
      <c r="D481" t="inlineStr">
        <is>
          <t>Exempt</t>
        </is>
      </c>
      <c r="E481" s="5" t="n">
        <v>75</v>
      </c>
      <c r="F481" s="4" t="n">
        <v>223.0666666666667</v>
      </c>
      <c r="G481" s="5">
        <f>E481*F481</f>
        <v/>
      </c>
      <c r="H481" s="5">
        <f>G481*0.35</f>
        <v/>
      </c>
      <c r="I481" s="5">
        <f>(G481+H481)*0.05</f>
        <v/>
      </c>
      <c r="J481" s="5">
        <f>(G481+H481+I481)*0.03</f>
        <v/>
      </c>
      <c r="K481" s="5">
        <f>G481+H481+I481+J481</f>
        <v/>
      </c>
      <c r="L481" s="5">
        <f>K481*0.08</f>
        <v/>
      </c>
      <c r="M481" s="5">
        <f>K481+L481</f>
        <v/>
      </c>
      <c r="N481" s="4" t="n">
        <v>44.61333333333334</v>
      </c>
      <c r="O481" s="5">
        <f>(E481*N481)*1.35*1.05*1.03*1.08</f>
        <v/>
      </c>
      <c r="P481" s="4" t="n">
        <v>44.61333333333334</v>
      </c>
      <c r="Q481" s="5">
        <f>(E481*P481)*1.35*1.05*1.03*1.08</f>
        <v/>
      </c>
      <c r="R481" s="4" t="n">
        <v>44.61333333333334</v>
      </c>
      <c r="S481" s="5">
        <f>(E481*R481)*1.35*1.05*1.03*1.08</f>
        <v/>
      </c>
      <c r="T481" s="4" t="n">
        <v>44.61333333333334</v>
      </c>
      <c r="U481" s="5">
        <f>(E481*T481)*1.35*1.05*1.03*1.08</f>
        <v/>
      </c>
      <c r="V481" s="4">
        <f>F481+N481+P481+R481+T481</f>
        <v/>
      </c>
      <c r="W481" s="5">
        <f>M481+O481+Q481+S481+U481</f>
        <v/>
      </c>
    </row>
    <row r="482">
      <c r="A482" t="inlineStr">
        <is>
          <t>MTEN - 29 Palms</t>
        </is>
      </c>
      <c r="B482" t="inlineStr">
        <is>
          <t>Technical Support Specialist</t>
        </is>
      </c>
      <c r="C482" t="inlineStr">
        <is>
          <t>Non-SCA</t>
        </is>
      </c>
      <c r="D482" t="inlineStr">
        <is>
          <t>Exempt</t>
        </is>
      </c>
      <c r="E482" s="5" t="n">
        <v>80</v>
      </c>
      <c r="F482" s="4" t="n">
        <v>446.1333333333334</v>
      </c>
      <c r="G482" s="5">
        <f>E482*F482</f>
        <v/>
      </c>
      <c r="H482" s="5">
        <f>G482*0.35</f>
        <v/>
      </c>
      <c r="I482" s="5">
        <f>(G482+H482)*0.05</f>
        <v/>
      </c>
      <c r="J482" s="5">
        <f>(G482+H482+I482)*0.03</f>
        <v/>
      </c>
      <c r="K482" s="5">
        <f>G482+H482+I482+J482</f>
        <v/>
      </c>
      <c r="L482" s="5">
        <f>K482*0.08</f>
        <v/>
      </c>
      <c r="M482" s="5">
        <f>K482+L482</f>
        <v/>
      </c>
      <c r="N482" s="4" t="n">
        <v>89.22666666666667</v>
      </c>
      <c r="O482" s="5">
        <f>(E482*N482)*1.35*1.05*1.03*1.08</f>
        <v/>
      </c>
      <c r="P482" s="4" t="n">
        <v>89.22666666666667</v>
      </c>
      <c r="Q482" s="5">
        <f>(E482*P482)*1.35*1.05*1.03*1.08</f>
        <v/>
      </c>
      <c r="R482" s="4" t="n">
        <v>89.22666666666667</v>
      </c>
      <c r="S482" s="5">
        <f>(E482*R482)*1.35*1.05*1.03*1.08</f>
        <v/>
      </c>
      <c r="T482" s="4" t="n">
        <v>89.22666666666667</v>
      </c>
      <c r="U482" s="5">
        <f>(E482*T482)*1.35*1.05*1.03*1.08</f>
        <v/>
      </c>
      <c r="V482" s="4">
        <f>F482+N482+P482+R482+T482</f>
        <v/>
      </c>
      <c r="W482" s="5">
        <f>M482+O482+Q482+S482+U482</f>
        <v/>
      </c>
    </row>
    <row r="483">
      <c r="A483" t="inlineStr">
        <is>
          <t>MTEN - Camp Lejeune</t>
        </is>
      </c>
      <c r="B483" t="inlineStr">
        <is>
          <t>Cybersecurity Analyst III</t>
        </is>
      </c>
      <c r="C483" t="inlineStr">
        <is>
          <t>Non-SCA</t>
        </is>
      </c>
      <c r="D483" t="inlineStr">
        <is>
          <t>Exempt</t>
        </is>
      </c>
      <c r="E483" s="5" t="n">
        <v>80</v>
      </c>
      <c r="F483" s="4" t="n">
        <v>63.73333333333334</v>
      </c>
      <c r="G483" s="5">
        <f>E483*F483</f>
        <v/>
      </c>
      <c r="H483" s="5">
        <f>G483*0.35</f>
        <v/>
      </c>
      <c r="I483" s="5">
        <f>(G483+H483)*0.05</f>
        <v/>
      </c>
      <c r="J483" s="5">
        <f>(G483+H483+I483)*0.03</f>
        <v/>
      </c>
      <c r="K483" s="5">
        <f>G483+H483+I483+J483</f>
        <v/>
      </c>
      <c r="L483" s="5">
        <f>K483*0.08</f>
        <v/>
      </c>
      <c r="M483" s="5">
        <f>K483+L483</f>
        <v/>
      </c>
      <c r="N483" s="4" t="n">
        <v>12.74666666666667</v>
      </c>
      <c r="O483" s="5">
        <f>(E483*N483)*1.35*1.05*1.03*1.08</f>
        <v/>
      </c>
      <c r="P483" s="4" t="n">
        <v>12.74666666666667</v>
      </c>
      <c r="Q483" s="5">
        <f>(E483*P483)*1.35*1.05*1.03*1.08</f>
        <v/>
      </c>
      <c r="R483" s="4" t="n">
        <v>12.74666666666667</v>
      </c>
      <c r="S483" s="5">
        <f>(E483*R483)*1.35*1.05*1.03*1.08</f>
        <v/>
      </c>
      <c r="T483" s="4" t="n">
        <v>12.74666666666667</v>
      </c>
      <c r="U483" s="5">
        <f>(E483*T483)*1.35*1.05*1.03*1.08</f>
        <v/>
      </c>
      <c r="V483" s="4">
        <f>F483+N483+P483+R483+T483</f>
        <v/>
      </c>
      <c r="W483" s="5">
        <f>M483+O483+Q483+S483+U483</f>
        <v/>
      </c>
    </row>
    <row r="484">
      <c r="A484" t="inlineStr">
        <is>
          <t>MTEN - Camp Lejeune</t>
        </is>
      </c>
      <c r="B484" t="inlineStr">
        <is>
          <t>Cybersecurity Analyst IV</t>
        </is>
      </c>
      <c r="C484" t="inlineStr">
        <is>
          <t>Non-SCA</t>
        </is>
      </c>
      <c r="D484" t="inlineStr">
        <is>
          <t>Exempt</t>
        </is>
      </c>
      <c r="E484" s="5" t="n">
        <v>80</v>
      </c>
      <c r="F484" s="4" t="n">
        <v>63.73333333333334</v>
      </c>
      <c r="G484" s="5">
        <f>E484*F484</f>
        <v/>
      </c>
      <c r="H484" s="5">
        <f>G484*0.35</f>
        <v/>
      </c>
      <c r="I484" s="5">
        <f>(G484+H484)*0.05</f>
        <v/>
      </c>
      <c r="J484" s="5">
        <f>(G484+H484+I484)*0.03</f>
        <v/>
      </c>
      <c r="K484" s="5">
        <f>G484+H484+I484+J484</f>
        <v/>
      </c>
      <c r="L484" s="5">
        <f>K484*0.08</f>
        <v/>
      </c>
      <c r="M484" s="5">
        <f>K484+L484</f>
        <v/>
      </c>
      <c r="N484" s="4" t="n">
        <v>12.74666666666667</v>
      </c>
      <c r="O484" s="5">
        <f>(E484*N484)*1.35*1.05*1.03*1.08</f>
        <v/>
      </c>
      <c r="P484" s="4" t="n">
        <v>12.74666666666667</v>
      </c>
      <c r="Q484" s="5">
        <f>(E484*P484)*1.35*1.05*1.03*1.08</f>
        <v/>
      </c>
      <c r="R484" s="4" t="n">
        <v>12.74666666666667</v>
      </c>
      <c r="S484" s="5">
        <f>(E484*R484)*1.35*1.05*1.03*1.08</f>
        <v/>
      </c>
      <c r="T484" s="4" t="n">
        <v>12.74666666666667</v>
      </c>
      <c r="U484" s="5">
        <f>(E484*T484)*1.35*1.05*1.03*1.08</f>
        <v/>
      </c>
      <c r="V484" s="4">
        <f>F484+N484+P484+R484+T484</f>
        <v/>
      </c>
      <c r="W484" s="5">
        <f>M484+O484+Q484+S484+U484</f>
        <v/>
      </c>
    </row>
    <row r="485">
      <c r="A485" t="inlineStr">
        <is>
          <t>MTEN - Camp Lejeune</t>
        </is>
      </c>
      <c r="B485" t="inlineStr">
        <is>
          <t>Mission Coordinator</t>
        </is>
      </c>
      <c r="C485" t="inlineStr">
        <is>
          <t>Non-SCA</t>
        </is>
      </c>
      <c r="D485" t="inlineStr">
        <is>
          <t>Exempt</t>
        </is>
      </c>
      <c r="E485" s="5" t="n">
        <v>85</v>
      </c>
      <c r="F485" s="4" t="n">
        <v>223.0666666666667</v>
      </c>
      <c r="G485" s="5">
        <f>E485*F485</f>
        <v/>
      </c>
      <c r="H485" s="5">
        <f>G485*0.35</f>
        <v/>
      </c>
      <c r="I485" s="5">
        <f>(G485+H485)*0.05</f>
        <v/>
      </c>
      <c r="J485" s="5">
        <f>(G485+H485+I485)*0.03</f>
        <v/>
      </c>
      <c r="K485" s="5">
        <f>G485+H485+I485+J485</f>
        <v/>
      </c>
      <c r="L485" s="5">
        <f>K485*0.08</f>
        <v/>
      </c>
      <c r="M485" s="5">
        <f>K485+L485</f>
        <v/>
      </c>
      <c r="N485" s="4" t="n">
        <v>44.61333333333334</v>
      </c>
      <c r="O485" s="5">
        <f>(E485*N485)*1.35*1.05*1.03*1.08</f>
        <v/>
      </c>
      <c r="P485" s="4" t="n">
        <v>44.61333333333334</v>
      </c>
      <c r="Q485" s="5">
        <f>(E485*P485)*1.35*1.05*1.03*1.08</f>
        <v/>
      </c>
      <c r="R485" s="4" t="n">
        <v>44.61333333333334</v>
      </c>
      <c r="S485" s="5">
        <f>(E485*R485)*1.35*1.05*1.03*1.08</f>
        <v/>
      </c>
      <c r="T485" s="4" t="n">
        <v>44.61333333333334</v>
      </c>
      <c r="U485" s="5">
        <f>(E485*T485)*1.35*1.05*1.03*1.08</f>
        <v/>
      </c>
      <c r="V485" s="4">
        <f>F485+N485+P485+R485+T485</f>
        <v/>
      </c>
      <c r="W485" s="5">
        <f>M485+O485+Q485+S485+U485</f>
        <v/>
      </c>
    </row>
    <row r="486">
      <c r="A486" t="inlineStr">
        <is>
          <t>MTEN - Camp Lejeune</t>
        </is>
      </c>
      <c r="B486" t="inlineStr">
        <is>
          <t>Network Administrator III</t>
        </is>
      </c>
      <c r="C486" t="inlineStr">
        <is>
          <t>Non-SCA</t>
        </is>
      </c>
      <c r="D486" t="inlineStr">
        <is>
          <t>Exempt</t>
        </is>
      </c>
      <c r="E486" s="5" t="n">
        <v>80</v>
      </c>
      <c r="F486" s="4" t="n">
        <v>127.4666666666667</v>
      </c>
      <c r="G486" s="5">
        <f>E486*F486</f>
        <v/>
      </c>
      <c r="H486" s="5">
        <f>G486*0.35</f>
        <v/>
      </c>
      <c r="I486" s="5">
        <f>(G486+H486)*0.05</f>
        <v/>
      </c>
      <c r="J486" s="5">
        <f>(G486+H486+I486)*0.03</f>
        <v/>
      </c>
      <c r="K486" s="5">
        <f>G486+H486+I486+J486</f>
        <v/>
      </c>
      <c r="L486" s="5">
        <f>K486*0.08</f>
        <v/>
      </c>
      <c r="M486" s="5">
        <f>K486+L486</f>
        <v/>
      </c>
      <c r="N486" s="4" t="n">
        <v>25.49333333333334</v>
      </c>
      <c r="O486" s="5">
        <f>(E486*N486)*1.35*1.05*1.03*1.08</f>
        <v/>
      </c>
      <c r="P486" s="4" t="n">
        <v>25.49333333333334</v>
      </c>
      <c r="Q486" s="5">
        <f>(E486*P486)*1.35*1.05*1.03*1.08</f>
        <v/>
      </c>
      <c r="R486" s="4" t="n">
        <v>25.49333333333334</v>
      </c>
      <c r="S486" s="5">
        <f>(E486*R486)*1.35*1.05*1.03*1.08</f>
        <v/>
      </c>
      <c r="T486" s="4" t="n">
        <v>25.49333333333334</v>
      </c>
      <c r="U486" s="5">
        <f>(E486*T486)*1.35*1.05*1.03*1.08</f>
        <v/>
      </c>
      <c r="V486" s="4">
        <f>F486+N486+P486+R486+T486</f>
        <v/>
      </c>
      <c r="W486" s="5">
        <f>M486+O486+Q486+S486+U486</f>
        <v/>
      </c>
    </row>
    <row r="487">
      <c r="A487" t="inlineStr">
        <is>
          <t>MTEN - Camp Lejeune</t>
        </is>
      </c>
      <c r="B487" t="inlineStr">
        <is>
          <t>Network Administrator IV</t>
        </is>
      </c>
      <c r="C487" t="inlineStr">
        <is>
          <t>Non-SCA</t>
        </is>
      </c>
      <c r="D487" t="inlineStr">
        <is>
          <t>Exempt</t>
        </is>
      </c>
      <c r="E487" s="5" t="n">
        <v>80</v>
      </c>
      <c r="F487" s="4" t="n">
        <v>573.5999999999999</v>
      </c>
      <c r="G487" s="5">
        <f>E487*F487</f>
        <v/>
      </c>
      <c r="H487" s="5">
        <f>G487*0.35</f>
        <v/>
      </c>
      <c r="I487" s="5">
        <f>(G487+H487)*0.05</f>
        <v/>
      </c>
      <c r="J487" s="5">
        <f>(G487+H487+I487)*0.03</f>
        <v/>
      </c>
      <c r="K487" s="5">
        <f>G487+H487+I487+J487</f>
        <v/>
      </c>
      <c r="L487" s="5">
        <f>K487*0.08</f>
        <v/>
      </c>
      <c r="M487" s="5">
        <f>K487+L487</f>
        <v/>
      </c>
      <c r="N487" s="4" t="n">
        <v>114.72</v>
      </c>
      <c r="O487" s="5">
        <f>(E487*N487)*1.35*1.05*1.03*1.08</f>
        <v/>
      </c>
      <c r="P487" s="4" t="n">
        <v>114.72</v>
      </c>
      <c r="Q487" s="5">
        <f>(E487*P487)*1.35*1.05*1.03*1.08</f>
        <v/>
      </c>
      <c r="R487" s="4" t="n">
        <v>114.72</v>
      </c>
      <c r="S487" s="5">
        <f>(E487*R487)*1.35*1.05*1.03*1.08</f>
        <v/>
      </c>
      <c r="T487" s="4" t="n">
        <v>114.72</v>
      </c>
      <c r="U487" s="5">
        <f>(E487*T487)*1.35*1.05*1.03*1.08</f>
        <v/>
      </c>
      <c r="V487" s="4">
        <f>F487+N487+P487+R487+T487</f>
        <v/>
      </c>
      <c r="W487" s="5">
        <f>M487+O487+Q487+S487+U487</f>
        <v/>
      </c>
    </row>
    <row r="488">
      <c r="A488" t="inlineStr">
        <is>
          <t>MTEN - Camp Lejeune</t>
        </is>
      </c>
      <c r="B488" t="inlineStr">
        <is>
          <t>Network Engineer IV</t>
        </is>
      </c>
      <c r="C488" t="inlineStr">
        <is>
          <t>Non-SCA</t>
        </is>
      </c>
      <c r="D488" t="inlineStr">
        <is>
          <t>Exempt</t>
        </is>
      </c>
      <c r="E488" s="5" t="n">
        <v>95</v>
      </c>
      <c r="F488" s="4" t="n">
        <v>223.0666666666667</v>
      </c>
      <c r="G488" s="5">
        <f>E488*F488</f>
        <v/>
      </c>
      <c r="H488" s="5">
        <f>G488*0.35</f>
        <v/>
      </c>
      <c r="I488" s="5">
        <f>(G488+H488)*0.05</f>
        <v/>
      </c>
      <c r="J488" s="5">
        <f>(G488+H488+I488)*0.03</f>
        <v/>
      </c>
      <c r="K488" s="5">
        <f>G488+H488+I488+J488</f>
        <v/>
      </c>
      <c r="L488" s="5">
        <f>K488*0.08</f>
        <v/>
      </c>
      <c r="M488" s="5">
        <f>K488+L488</f>
        <v/>
      </c>
      <c r="N488" s="4" t="n">
        <v>44.61333333333334</v>
      </c>
      <c r="O488" s="5">
        <f>(E488*N488)*1.35*1.05*1.03*1.08</f>
        <v/>
      </c>
      <c r="P488" s="4" t="n">
        <v>44.61333333333334</v>
      </c>
      <c r="Q488" s="5">
        <f>(E488*P488)*1.35*1.05*1.03*1.08</f>
        <v/>
      </c>
      <c r="R488" s="4" t="n">
        <v>44.61333333333334</v>
      </c>
      <c r="S488" s="5">
        <f>(E488*R488)*1.35*1.05*1.03*1.08</f>
        <v/>
      </c>
      <c r="T488" s="4" t="n">
        <v>44.61333333333334</v>
      </c>
      <c r="U488" s="5">
        <f>(E488*T488)*1.35*1.05*1.03*1.08</f>
        <v/>
      </c>
      <c r="V488" s="4">
        <f>F488+N488+P488+R488+T488</f>
        <v/>
      </c>
      <c r="W488" s="5">
        <f>M488+O488+Q488+S488+U488</f>
        <v/>
      </c>
    </row>
    <row r="489">
      <c r="A489" t="inlineStr">
        <is>
          <t>MTEN - Camp Lejeune</t>
        </is>
      </c>
      <c r="B489" t="inlineStr">
        <is>
          <t>Tactical Data Link Analyst</t>
        </is>
      </c>
      <c r="C489" t="inlineStr">
        <is>
          <t>Non-SCA</t>
        </is>
      </c>
      <c r="D489" t="inlineStr">
        <is>
          <t>Exempt</t>
        </is>
      </c>
      <c r="E489" s="5" t="n">
        <v>75</v>
      </c>
      <c r="F489" s="4" t="n">
        <v>223.0666666666667</v>
      </c>
      <c r="G489" s="5">
        <f>E489*F489</f>
        <v/>
      </c>
      <c r="H489" s="5">
        <f>G489*0.35</f>
        <v/>
      </c>
      <c r="I489" s="5">
        <f>(G489+H489)*0.05</f>
        <v/>
      </c>
      <c r="J489" s="5">
        <f>(G489+H489+I489)*0.03</f>
        <v/>
      </c>
      <c r="K489" s="5">
        <f>G489+H489+I489+J489</f>
        <v/>
      </c>
      <c r="L489" s="5">
        <f>K489*0.08</f>
        <v/>
      </c>
      <c r="M489" s="5">
        <f>K489+L489</f>
        <v/>
      </c>
      <c r="N489" s="4" t="n">
        <v>44.61333333333334</v>
      </c>
      <c r="O489" s="5">
        <f>(E489*N489)*1.35*1.05*1.03*1.08</f>
        <v/>
      </c>
      <c r="P489" s="4" t="n">
        <v>44.61333333333334</v>
      </c>
      <c r="Q489" s="5">
        <f>(E489*P489)*1.35*1.05*1.03*1.08</f>
        <v/>
      </c>
      <c r="R489" s="4" t="n">
        <v>44.61333333333334</v>
      </c>
      <c r="S489" s="5">
        <f>(E489*R489)*1.35*1.05*1.03*1.08</f>
        <v/>
      </c>
      <c r="T489" s="4" t="n">
        <v>44.61333333333334</v>
      </c>
      <c r="U489" s="5">
        <f>(E489*T489)*1.35*1.05*1.03*1.08</f>
        <v/>
      </c>
      <c r="V489" s="4">
        <f>F489+N489+P489+R489+T489</f>
        <v/>
      </c>
      <c r="W489" s="5">
        <f>M489+O489+Q489+S489+U489</f>
        <v/>
      </c>
    </row>
    <row r="490">
      <c r="A490" t="inlineStr">
        <is>
          <t>MTEN - Camp Lejeune</t>
        </is>
      </c>
      <c r="B490" t="inlineStr">
        <is>
          <t>Technical Support Specialist</t>
        </is>
      </c>
      <c r="C490" t="inlineStr">
        <is>
          <t>Non-SCA</t>
        </is>
      </c>
      <c r="D490" t="inlineStr">
        <is>
          <t>Exempt</t>
        </is>
      </c>
      <c r="E490" s="5" t="n">
        <v>80</v>
      </c>
      <c r="F490" s="4" t="n">
        <v>446.1333333333334</v>
      </c>
      <c r="G490" s="5">
        <f>E490*F490</f>
        <v/>
      </c>
      <c r="H490" s="5">
        <f>G490*0.35</f>
        <v/>
      </c>
      <c r="I490" s="5">
        <f>(G490+H490)*0.05</f>
        <v/>
      </c>
      <c r="J490" s="5">
        <f>(G490+H490+I490)*0.03</f>
        <v/>
      </c>
      <c r="K490" s="5">
        <f>G490+H490+I490+J490</f>
        <v/>
      </c>
      <c r="L490" s="5">
        <f>K490*0.08</f>
        <v/>
      </c>
      <c r="M490" s="5">
        <f>K490+L490</f>
        <v/>
      </c>
      <c r="N490" s="4" t="n">
        <v>89.22666666666667</v>
      </c>
      <c r="O490" s="5">
        <f>(E490*N490)*1.35*1.05*1.03*1.08</f>
        <v/>
      </c>
      <c r="P490" s="4" t="n">
        <v>89.22666666666667</v>
      </c>
      <c r="Q490" s="5">
        <f>(E490*P490)*1.35*1.05*1.03*1.08</f>
        <v/>
      </c>
      <c r="R490" s="4" t="n">
        <v>89.22666666666667</v>
      </c>
      <c r="S490" s="5">
        <f>(E490*R490)*1.35*1.05*1.03*1.08</f>
        <v/>
      </c>
      <c r="T490" s="4" t="n">
        <v>89.22666666666667</v>
      </c>
      <c r="U490" s="5">
        <f>(E490*T490)*1.35*1.05*1.03*1.08</f>
        <v/>
      </c>
      <c r="V490" s="4">
        <f>F490+N490+P490+R490+T490</f>
        <v/>
      </c>
      <c r="W490" s="5">
        <f>M490+O490+Q490+S490+U490</f>
        <v/>
      </c>
    </row>
    <row r="491">
      <c r="A491" t="inlineStr">
        <is>
          <t>MTEN - Camp Pendleton</t>
        </is>
      </c>
      <c r="B491" t="inlineStr">
        <is>
          <t>Cybersecurity Analyst III</t>
        </is>
      </c>
      <c r="C491" t="inlineStr">
        <is>
          <t>Non-SCA</t>
        </is>
      </c>
      <c r="D491" t="inlineStr">
        <is>
          <t>Exempt</t>
        </is>
      </c>
      <c r="E491" s="5" t="n">
        <v>80</v>
      </c>
      <c r="F491" s="4" t="n">
        <v>63.73333333333334</v>
      </c>
      <c r="G491" s="5">
        <f>E491*F491</f>
        <v/>
      </c>
      <c r="H491" s="5">
        <f>G491*0.35</f>
        <v/>
      </c>
      <c r="I491" s="5">
        <f>(G491+H491)*0.05</f>
        <v/>
      </c>
      <c r="J491" s="5">
        <f>(G491+H491+I491)*0.03</f>
        <v/>
      </c>
      <c r="K491" s="5">
        <f>G491+H491+I491+J491</f>
        <v/>
      </c>
      <c r="L491" s="5">
        <f>K491*0.08</f>
        <v/>
      </c>
      <c r="M491" s="5">
        <f>K491+L491</f>
        <v/>
      </c>
      <c r="N491" s="4" t="n">
        <v>12.74666666666667</v>
      </c>
      <c r="O491" s="5">
        <f>(E491*N491)*1.35*1.05*1.03*1.08</f>
        <v/>
      </c>
      <c r="P491" s="4" t="n">
        <v>12.74666666666667</v>
      </c>
      <c r="Q491" s="5">
        <f>(E491*P491)*1.35*1.05*1.03*1.08</f>
        <v/>
      </c>
      <c r="R491" s="4" t="n">
        <v>12.74666666666667</v>
      </c>
      <c r="S491" s="5">
        <f>(E491*R491)*1.35*1.05*1.03*1.08</f>
        <v/>
      </c>
      <c r="T491" s="4" t="n">
        <v>12.74666666666667</v>
      </c>
      <c r="U491" s="5">
        <f>(E491*T491)*1.35*1.05*1.03*1.08</f>
        <v/>
      </c>
      <c r="V491" s="4">
        <f>F491+N491+P491+R491+T491</f>
        <v/>
      </c>
      <c r="W491" s="5">
        <f>M491+O491+Q491+S491+U491</f>
        <v/>
      </c>
    </row>
    <row r="492">
      <c r="A492" t="inlineStr">
        <is>
          <t>MTEN - Camp Pendleton</t>
        </is>
      </c>
      <c r="B492" t="inlineStr">
        <is>
          <t>Cybersecurity Analyst IV</t>
        </is>
      </c>
      <c r="C492" t="inlineStr">
        <is>
          <t>Non-SCA</t>
        </is>
      </c>
      <c r="D492" t="inlineStr">
        <is>
          <t>Exempt</t>
        </is>
      </c>
      <c r="E492" s="5" t="n">
        <v>80</v>
      </c>
      <c r="F492" s="4" t="n">
        <v>63.73333333333334</v>
      </c>
      <c r="G492" s="5">
        <f>E492*F492</f>
        <v/>
      </c>
      <c r="H492" s="5">
        <f>G492*0.35</f>
        <v/>
      </c>
      <c r="I492" s="5">
        <f>(G492+H492)*0.05</f>
        <v/>
      </c>
      <c r="J492" s="5">
        <f>(G492+H492+I492)*0.03</f>
        <v/>
      </c>
      <c r="K492" s="5">
        <f>G492+H492+I492+J492</f>
        <v/>
      </c>
      <c r="L492" s="5">
        <f>K492*0.08</f>
        <v/>
      </c>
      <c r="M492" s="5">
        <f>K492+L492</f>
        <v/>
      </c>
      <c r="N492" s="4" t="n">
        <v>12.74666666666667</v>
      </c>
      <c r="O492" s="5">
        <f>(E492*N492)*1.35*1.05*1.03*1.08</f>
        <v/>
      </c>
      <c r="P492" s="4" t="n">
        <v>12.74666666666667</v>
      </c>
      <c r="Q492" s="5">
        <f>(E492*P492)*1.35*1.05*1.03*1.08</f>
        <v/>
      </c>
      <c r="R492" s="4" t="n">
        <v>12.74666666666667</v>
      </c>
      <c r="S492" s="5">
        <f>(E492*R492)*1.35*1.05*1.03*1.08</f>
        <v/>
      </c>
      <c r="T492" s="4" t="n">
        <v>12.74666666666667</v>
      </c>
      <c r="U492" s="5">
        <f>(E492*T492)*1.35*1.05*1.03*1.08</f>
        <v/>
      </c>
      <c r="V492" s="4">
        <f>F492+N492+P492+R492+T492</f>
        <v/>
      </c>
      <c r="W492" s="5">
        <f>M492+O492+Q492+S492+U492</f>
        <v/>
      </c>
    </row>
    <row r="493">
      <c r="A493" t="inlineStr">
        <is>
          <t>MTEN - Camp Pendleton</t>
        </is>
      </c>
      <c r="B493" t="inlineStr">
        <is>
          <t>Mission Coordinator</t>
        </is>
      </c>
      <c r="C493" t="inlineStr">
        <is>
          <t>Non-SCA</t>
        </is>
      </c>
      <c r="D493" t="inlineStr">
        <is>
          <t>Exempt</t>
        </is>
      </c>
      <c r="E493" s="5" t="n">
        <v>85</v>
      </c>
      <c r="F493" s="4" t="n">
        <v>223.0666666666667</v>
      </c>
      <c r="G493" s="5">
        <f>E493*F493</f>
        <v/>
      </c>
      <c r="H493" s="5">
        <f>G493*0.35</f>
        <v/>
      </c>
      <c r="I493" s="5">
        <f>(G493+H493)*0.05</f>
        <v/>
      </c>
      <c r="J493" s="5">
        <f>(G493+H493+I493)*0.03</f>
        <v/>
      </c>
      <c r="K493" s="5">
        <f>G493+H493+I493+J493</f>
        <v/>
      </c>
      <c r="L493" s="5">
        <f>K493*0.08</f>
        <v/>
      </c>
      <c r="M493" s="5">
        <f>K493+L493</f>
        <v/>
      </c>
      <c r="N493" s="4" t="n">
        <v>44.61333333333334</v>
      </c>
      <c r="O493" s="5">
        <f>(E493*N493)*1.35*1.05*1.03*1.08</f>
        <v/>
      </c>
      <c r="P493" s="4" t="n">
        <v>44.61333333333334</v>
      </c>
      <c r="Q493" s="5">
        <f>(E493*P493)*1.35*1.05*1.03*1.08</f>
        <v/>
      </c>
      <c r="R493" s="4" t="n">
        <v>44.61333333333334</v>
      </c>
      <c r="S493" s="5">
        <f>(E493*R493)*1.35*1.05*1.03*1.08</f>
        <v/>
      </c>
      <c r="T493" s="4" t="n">
        <v>44.61333333333334</v>
      </c>
      <c r="U493" s="5">
        <f>(E493*T493)*1.35*1.05*1.03*1.08</f>
        <v/>
      </c>
      <c r="V493" s="4">
        <f>F493+N493+P493+R493+T493</f>
        <v/>
      </c>
      <c r="W493" s="5">
        <f>M493+O493+Q493+S493+U493</f>
        <v/>
      </c>
    </row>
    <row r="494">
      <c r="A494" t="inlineStr">
        <is>
          <t>MTEN - Camp Pendleton</t>
        </is>
      </c>
      <c r="B494" t="inlineStr">
        <is>
          <t>Network Administrator III</t>
        </is>
      </c>
      <c r="C494" t="inlineStr">
        <is>
          <t>Non-SCA</t>
        </is>
      </c>
      <c r="D494" t="inlineStr">
        <is>
          <t>Exempt</t>
        </is>
      </c>
      <c r="E494" s="5" t="n">
        <v>80</v>
      </c>
      <c r="F494" s="4" t="n">
        <v>127.4666666666667</v>
      </c>
      <c r="G494" s="5">
        <f>E494*F494</f>
        <v/>
      </c>
      <c r="H494" s="5">
        <f>G494*0.35</f>
        <v/>
      </c>
      <c r="I494" s="5">
        <f>(G494+H494)*0.05</f>
        <v/>
      </c>
      <c r="J494" s="5">
        <f>(G494+H494+I494)*0.03</f>
        <v/>
      </c>
      <c r="K494" s="5">
        <f>G494+H494+I494+J494</f>
        <v/>
      </c>
      <c r="L494" s="5">
        <f>K494*0.08</f>
        <v/>
      </c>
      <c r="M494" s="5">
        <f>K494+L494</f>
        <v/>
      </c>
      <c r="N494" s="4" t="n">
        <v>25.49333333333334</v>
      </c>
      <c r="O494" s="5">
        <f>(E494*N494)*1.35*1.05*1.03*1.08</f>
        <v/>
      </c>
      <c r="P494" s="4" t="n">
        <v>25.49333333333334</v>
      </c>
      <c r="Q494" s="5">
        <f>(E494*P494)*1.35*1.05*1.03*1.08</f>
        <v/>
      </c>
      <c r="R494" s="4" t="n">
        <v>25.49333333333334</v>
      </c>
      <c r="S494" s="5">
        <f>(E494*R494)*1.35*1.05*1.03*1.08</f>
        <v/>
      </c>
      <c r="T494" s="4" t="n">
        <v>25.49333333333334</v>
      </c>
      <c r="U494" s="5">
        <f>(E494*T494)*1.35*1.05*1.03*1.08</f>
        <v/>
      </c>
      <c r="V494" s="4">
        <f>F494+N494+P494+R494+T494</f>
        <v/>
      </c>
      <c r="W494" s="5">
        <f>M494+O494+Q494+S494+U494</f>
        <v/>
      </c>
    </row>
    <row r="495">
      <c r="A495" t="inlineStr">
        <is>
          <t>MTEN - Camp Pendleton</t>
        </is>
      </c>
      <c r="B495" t="inlineStr">
        <is>
          <t>Network Administrator IV</t>
        </is>
      </c>
      <c r="C495" t="inlineStr">
        <is>
          <t>Non-SCA</t>
        </is>
      </c>
      <c r="D495" t="inlineStr">
        <is>
          <t>Exempt</t>
        </is>
      </c>
      <c r="E495" s="5" t="n">
        <v>80</v>
      </c>
      <c r="F495" s="4" t="n">
        <v>573.5999999999999</v>
      </c>
      <c r="G495" s="5">
        <f>E495*F495</f>
        <v/>
      </c>
      <c r="H495" s="5">
        <f>G495*0.35</f>
        <v/>
      </c>
      <c r="I495" s="5">
        <f>(G495+H495)*0.05</f>
        <v/>
      </c>
      <c r="J495" s="5">
        <f>(G495+H495+I495)*0.03</f>
        <v/>
      </c>
      <c r="K495" s="5">
        <f>G495+H495+I495+J495</f>
        <v/>
      </c>
      <c r="L495" s="5">
        <f>K495*0.08</f>
        <v/>
      </c>
      <c r="M495" s="5">
        <f>K495+L495</f>
        <v/>
      </c>
      <c r="N495" s="4" t="n">
        <v>114.72</v>
      </c>
      <c r="O495" s="5">
        <f>(E495*N495)*1.35*1.05*1.03*1.08</f>
        <v/>
      </c>
      <c r="P495" s="4" t="n">
        <v>114.72</v>
      </c>
      <c r="Q495" s="5">
        <f>(E495*P495)*1.35*1.05*1.03*1.08</f>
        <v/>
      </c>
      <c r="R495" s="4" t="n">
        <v>114.72</v>
      </c>
      <c r="S495" s="5">
        <f>(E495*R495)*1.35*1.05*1.03*1.08</f>
        <v/>
      </c>
      <c r="T495" s="4" t="n">
        <v>114.72</v>
      </c>
      <c r="U495" s="5">
        <f>(E495*T495)*1.35*1.05*1.03*1.08</f>
        <v/>
      </c>
      <c r="V495" s="4">
        <f>F495+N495+P495+R495+T495</f>
        <v/>
      </c>
      <c r="W495" s="5">
        <f>M495+O495+Q495+S495+U495</f>
        <v/>
      </c>
    </row>
    <row r="496">
      <c r="A496" t="inlineStr">
        <is>
          <t>MTEN - Camp Pendleton</t>
        </is>
      </c>
      <c r="B496" t="inlineStr">
        <is>
          <t>Network Engineer IV</t>
        </is>
      </c>
      <c r="C496" t="inlineStr">
        <is>
          <t>Non-SCA</t>
        </is>
      </c>
      <c r="D496" t="inlineStr">
        <is>
          <t>Exempt</t>
        </is>
      </c>
      <c r="E496" s="5" t="n">
        <v>95</v>
      </c>
      <c r="F496" s="4" t="n">
        <v>223.0666666666667</v>
      </c>
      <c r="G496" s="5">
        <f>E496*F496</f>
        <v/>
      </c>
      <c r="H496" s="5">
        <f>G496*0.35</f>
        <v/>
      </c>
      <c r="I496" s="5">
        <f>(G496+H496)*0.05</f>
        <v/>
      </c>
      <c r="J496" s="5">
        <f>(G496+H496+I496)*0.03</f>
        <v/>
      </c>
      <c r="K496" s="5">
        <f>G496+H496+I496+J496</f>
        <v/>
      </c>
      <c r="L496" s="5">
        <f>K496*0.08</f>
        <v/>
      </c>
      <c r="M496" s="5">
        <f>K496+L496</f>
        <v/>
      </c>
      <c r="N496" s="4" t="n">
        <v>44.61333333333334</v>
      </c>
      <c r="O496" s="5">
        <f>(E496*N496)*1.35*1.05*1.03*1.08</f>
        <v/>
      </c>
      <c r="P496" s="4" t="n">
        <v>44.61333333333334</v>
      </c>
      <c r="Q496" s="5">
        <f>(E496*P496)*1.35*1.05*1.03*1.08</f>
        <v/>
      </c>
      <c r="R496" s="4" t="n">
        <v>44.61333333333334</v>
      </c>
      <c r="S496" s="5">
        <f>(E496*R496)*1.35*1.05*1.03*1.08</f>
        <v/>
      </c>
      <c r="T496" s="4" t="n">
        <v>44.61333333333334</v>
      </c>
      <c r="U496" s="5">
        <f>(E496*T496)*1.35*1.05*1.03*1.08</f>
        <v/>
      </c>
      <c r="V496" s="4">
        <f>F496+N496+P496+R496+T496</f>
        <v/>
      </c>
      <c r="W496" s="5">
        <f>M496+O496+Q496+S496+U496</f>
        <v/>
      </c>
    </row>
    <row r="497">
      <c r="A497" t="inlineStr">
        <is>
          <t>MTEN - Camp Pendleton</t>
        </is>
      </c>
      <c r="B497" t="inlineStr">
        <is>
          <t>Tactical Data Link Analyst</t>
        </is>
      </c>
      <c r="C497" t="inlineStr">
        <is>
          <t>Non-SCA</t>
        </is>
      </c>
      <c r="D497" t="inlineStr">
        <is>
          <t>Exempt</t>
        </is>
      </c>
      <c r="E497" s="5" t="n">
        <v>75</v>
      </c>
      <c r="F497" s="4" t="n">
        <v>223.0666666666667</v>
      </c>
      <c r="G497" s="5">
        <f>E497*F497</f>
        <v/>
      </c>
      <c r="H497" s="5">
        <f>G497*0.35</f>
        <v/>
      </c>
      <c r="I497" s="5">
        <f>(G497+H497)*0.05</f>
        <v/>
      </c>
      <c r="J497" s="5">
        <f>(G497+H497+I497)*0.03</f>
        <v/>
      </c>
      <c r="K497" s="5">
        <f>G497+H497+I497+J497</f>
        <v/>
      </c>
      <c r="L497" s="5">
        <f>K497*0.08</f>
        <v/>
      </c>
      <c r="M497" s="5">
        <f>K497+L497</f>
        <v/>
      </c>
      <c r="N497" s="4" t="n">
        <v>44.61333333333334</v>
      </c>
      <c r="O497" s="5">
        <f>(E497*N497)*1.35*1.05*1.03*1.08</f>
        <v/>
      </c>
      <c r="P497" s="4" t="n">
        <v>44.61333333333334</v>
      </c>
      <c r="Q497" s="5">
        <f>(E497*P497)*1.35*1.05*1.03*1.08</f>
        <v/>
      </c>
      <c r="R497" s="4" t="n">
        <v>44.61333333333334</v>
      </c>
      <c r="S497" s="5">
        <f>(E497*R497)*1.35*1.05*1.03*1.08</f>
        <v/>
      </c>
      <c r="T497" s="4" t="n">
        <v>44.61333333333334</v>
      </c>
      <c r="U497" s="5">
        <f>(E497*T497)*1.35*1.05*1.03*1.08</f>
        <v/>
      </c>
      <c r="V497" s="4">
        <f>F497+N497+P497+R497+T497</f>
        <v/>
      </c>
      <c r="W497" s="5">
        <f>M497+O497+Q497+S497+U497</f>
        <v/>
      </c>
    </row>
    <row r="498">
      <c r="A498" t="inlineStr">
        <is>
          <t>MTEN - Camp Pendleton</t>
        </is>
      </c>
      <c r="B498" t="inlineStr">
        <is>
          <t>Technical Support Specialist</t>
        </is>
      </c>
      <c r="C498" t="inlineStr">
        <is>
          <t>Non-SCA</t>
        </is>
      </c>
      <c r="D498" t="inlineStr">
        <is>
          <t>Exempt</t>
        </is>
      </c>
      <c r="E498" s="5" t="n">
        <v>80</v>
      </c>
      <c r="F498" s="4" t="n">
        <v>446.1333333333334</v>
      </c>
      <c r="G498" s="5">
        <f>E498*F498</f>
        <v/>
      </c>
      <c r="H498" s="5">
        <f>G498*0.35</f>
        <v/>
      </c>
      <c r="I498" s="5">
        <f>(G498+H498)*0.05</f>
        <v/>
      </c>
      <c r="J498" s="5">
        <f>(G498+H498+I498)*0.03</f>
        <v/>
      </c>
      <c r="K498" s="5">
        <f>G498+H498+I498+J498</f>
        <v/>
      </c>
      <c r="L498" s="5">
        <f>K498*0.08</f>
        <v/>
      </c>
      <c r="M498" s="5">
        <f>K498+L498</f>
        <v/>
      </c>
      <c r="N498" s="4" t="n">
        <v>89.22666666666667</v>
      </c>
      <c r="O498" s="5">
        <f>(E498*N498)*1.35*1.05*1.03*1.08</f>
        <v/>
      </c>
      <c r="P498" s="4" t="n">
        <v>89.22666666666667</v>
      </c>
      <c r="Q498" s="5">
        <f>(E498*P498)*1.35*1.05*1.03*1.08</f>
        <v/>
      </c>
      <c r="R498" s="4" t="n">
        <v>89.22666666666667</v>
      </c>
      <c r="S498" s="5">
        <f>(E498*R498)*1.35*1.05*1.03*1.08</f>
        <v/>
      </c>
      <c r="T498" s="4" t="n">
        <v>89.22666666666667</v>
      </c>
      <c r="U498" s="5">
        <f>(E498*T498)*1.35*1.05*1.03*1.08</f>
        <v/>
      </c>
      <c r="V498" s="4">
        <f>F498+N498+P498+R498+T498</f>
        <v/>
      </c>
      <c r="W498" s="5">
        <f>M498+O498+Q498+S498+U498</f>
        <v/>
      </c>
    </row>
    <row r="499">
      <c r="A499" t="inlineStr">
        <is>
          <t>MTEN - MCB Kaneohe Bay</t>
        </is>
      </c>
      <c r="B499" t="inlineStr">
        <is>
          <t>Cybersecurity Analyst III</t>
        </is>
      </c>
      <c r="C499" t="inlineStr">
        <is>
          <t>Non-SCA</t>
        </is>
      </c>
      <c r="D499" t="inlineStr">
        <is>
          <t>Exempt</t>
        </is>
      </c>
      <c r="E499" s="5" t="n">
        <v>80</v>
      </c>
      <c r="F499" s="4" t="n">
        <v>63.73333333333334</v>
      </c>
      <c r="G499" s="5">
        <f>E499*F499</f>
        <v/>
      </c>
      <c r="H499" s="5">
        <f>G499*0.35</f>
        <v/>
      </c>
      <c r="I499" s="5">
        <f>(G499+H499)*0.05</f>
        <v/>
      </c>
      <c r="J499" s="5">
        <f>(G499+H499+I499)*0.03</f>
        <v/>
      </c>
      <c r="K499" s="5">
        <f>G499+H499+I499+J499</f>
        <v/>
      </c>
      <c r="L499" s="5">
        <f>K499*0.08</f>
        <v/>
      </c>
      <c r="M499" s="5">
        <f>K499+L499</f>
        <v/>
      </c>
      <c r="N499" s="4" t="n">
        <v>12.74666666666667</v>
      </c>
      <c r="O499" s="5">
        <f>(E499*N499)*1.35*1.05*1.03*1.08</f>
        <v/>
      </c>
      <c r="P499" s="4" t="n">
        <v>12.74666666666667</v>
      </c>
      <c r="Q499" s="5">
        <f>(E499*P499)*1.35*1.05*1.03*1.08</f>
        <v/>
      </c>
      <c r="R499" s="4" t="n">
        <v>12.74666666666667</v>
      </c>
      <c r="S499" s="5">
        <f>(E499*R499)*1.35*1.05*1.03*1.08</f>
        <v/>
      </c>
      <c r="T499" s="4" t="n">
        <v>12.74666666666667</v>
      </c>
      <c r="U499" s="5">
        <f>(E499*T499)*1.35*1.05*1.03*1.08</f>
        <v/>
      </c>
      <c r="V499" s="4">
        <f>F499+N499+P499+R499+T499</f>
        <v/>
      </c>
      <c r="W499" s="5">
        <f>M499+O499+Q499+S499+U499</f>
        <v/>
      </c>
    </row>
    <row r="500">
      <c r="A500" t="inlineStr">
        <is>
          <t>MTEN - MCB Kaneohe Bay</t>
        </is>
      </c>
      <c r="B500" t="inlineStr">
        <is>
          <t>Cybersecurity Analyst IV</t>
        </is>
      </c>
      <c r="C500" t="inlineStr">
        <is>
          <t>Non-SCA</t>
        </is>
      </c>
      <c r="D500" t="inlineStr">
        <is>
          <t>Exempt</t>
        </is>
      </c>
      <c r="E500" s="5" t="n">
        <v>80</v>
      </c>
      <c r="F500" s="4" t="n">
        <v>63.73333333333334</v>
      </c>
      <c r="G500" s="5">
        <f>E500*F500</f>
        <v/>
      </c>
      <c r="H500" s="5">
        <f>G500*0.35</f>
        <v/>
      </c>
      <c r="I500" s="5">
        <f>(G500+H500)*0.05</f>
        <v/>
      </c>
      <c r="J500" s="5">
        <f>(G500+H500+I500)*0.03</f>
        <v/>
      </c>
      <c r="K500" s="5">
        <f>G500+H500+I500+J500</f>
        <v/>
      </c>
      <c r="L500" s="5">
        <f>K500*0.08</f>
        <v/>
      </c>
      <c r="M500" s="5">
        <f>K500+L500</f>
        <v/>
      </c>
      <c r="N500" s="4" t="n">
        <v>12.74666666666667</v>
      </c>
      <c r="O500" s="5">
        <f>(E500*N500)*1.35*1.05*1.03*1.08</f>
        <v/>
      </c>
      <c r="P500" s="4" t="n">
        <v>12.74666666666667</v>
      </c>
      <c r="Q500" s="5">
        <f>(E500*P500)*1.35*1.05*1.03*1.08</f>
        <v/>
      </c>
      <c r="R500" s="4" t="n">
        <v>12.74666666666667</v>
      </c>
      <c r="S500" s="5">
        <f>(E500*R500)*1.35*1.05*1.03*1.08</f>
        <v/>
      </c>
      <c r="T500" s="4" t="n">
        <v>12.74666666666667</v>
      </c>
      <c r="U500" s="5">
        <f>(E500*T500)*1.35*1.05*1.03*1.08</f>
        <v/>
      </c>
      <c r="V500" s="4">
        <f>F500+N500+P500+R500+T500</f>
        <v/>
      </c>
      <c r="W500" s="5">
        <f>M500+O500+Q500+S500+U500</f>
        <v/>
      </c>
    </row>
    <row r="501">
      <c r="A501" t="inlineStr">
        <is>
          <t>MTEN - MCB Kaneohe Bay</t>
        </is>
      </c>
      <c r="B501" t="inlineStr">
        <is>
          <t>Mission Coordinator</t>
        </is>
      </c>
      <c r="C501" t="inlineStr">
        <is>
          <t>Non-SCA</t>
        </is>
      </c>
      <c r="D501" t="inlineStr">
        <is>
          <t>Exempt</t>
        </is>
      </c>
      <c r="E501" s="5" t="n">
        <v>85</v>
      </c>
      <c r="F501" s="4" t="n">
        <v>223.0666666666667</v>
      </c>
      <c r="G501" s="5">
        <f>E501*F501</f>
        <v/>
      </c>
      <c r="H501" s="5">
        <f>G501*0.35</f>
        <v/>
      </c>
      <c r="I501" s="5">
        <f>(G501+H501)*0.05</f>
        <v/>
      </c>
      <c r="J501" s="5">
        <f>(G501+H501+I501)*0.03</f>
        <v/>
      </c>
      <c r="K501" s="5">
        <f>G501+H501+I501+J501</f>
        <v/>
      </c>
      <c r="L501" s="5">
        <f>K501*0.08</f>
        <v/>
      </c>
      <c r="M501" s="5">
        <f>K501+L501</f>
        <v/>
      </c>
      <c r="N501" s="4" t="n">
        <v>44.61333333333334</v>
      </c>
      <c r="O501" s="5">
        <f>(E501*N501)*1.35*1.05*1.03*1.08</f>
        <v/>
      </c>
      <c r="P501" s="4" t="n">
        <v>44.61333333333334</v>
      </c>
      <c r="Q501" s="5">
        <f>(E501*P501)*1.35*1.05*1.03*1.08</f>
        <v/>
      </c>
      <c r="R501" s="4" t="n">
        <v>44.61333333333334</v>
      </c>
      <c r="S501" s="5">
        <f>(E501*R501)*1.35*1.05*1.03*1.08</f>
        <v/>
      </c>
      <c r="T501" s="4" t="n">
        <v>44.61333333333334</v>
      </c>
      <c r="U501" s="5">
        <f>(E501*T501)*1.35*1.05*1.03*1.08</f>
        <v/>
      </c>
      <c r="V501" s="4">
        <f>F501+N501+P501+R501+T501</f>
        <v/>
      </c>
      <c r="W501" s="5">
        <f>M501+O501+Q501+S501+U501</f>
        <v/>
      </c>
    </row>
    <row r="502">
      <c r="A502" t="inlineStr">
        <is>
          <t>MTEN - MCB Kaneohe Bay</t>
        </is>
      </c>
      <c r="B502" t="inlineStr">
        <is>
          <t>Network Administrator III</t>
        </is>
      </c>
      <c r="C502" t="inlineStr">
        <is>
          <t>Non-SCA</t>
        </is>
      </c>
      <c r="D502" t="inlineStr">
        <is>
          <t>Exempt</t>
        </is>
      </c>
      <c r="E502" s="5" t="n">
        <v>80</v>
      </c>
      <c r="F502" s="4" t="n">
        <v>127.4666666666667</v>
      </c>
      <c r="G502" s="5">
        <f>E502*F502</f>
        <v/>
      </c>
      <c r="H502" s="5">
        <f>G502*0.35</f>
        <v/>
      </c>
      <c r="I502" s="5">
        <f>(G502+H502)*0.05</f>
        <v/>
      </c>
      <c r="J502" s="5">
        <f>(G502+H502+I502)*0.03</f>
        <v/>
      </c>
      <c r="K502" s="5">
        <f>G502+H502+I502+J502</f>
        <v/>
      </c>
      <c r="L502" s="5">
        <f>K502*0.08</f>
        <v/>
      </c>
      <c r="M502" s="5">
        <f>K502+L502</f>
        <v/>
      </c>
      <c r="N502" s="4" t="n">
        <v>25.49333333333334</v>
      </c>
      <c r="O502" s="5">
        <f>(E502*N502)*1.35*1.05*1.03*1.08</f>
        <v/>
      </c>
      <c r="P502" s="4" t="n">
        <v>25.49333333333334</v>
      </c>
      <c r="Q502" s="5">
        <f>(E502*P502)*1.35*1.05*1.03*1.08</f>
        <v/>
      </c>
      <c r="R502" s="4" t="n">
        <v>25.49333333333334</v>
      </c>
      <c r="S502" s="5">
        <f>(E502*R502)*1.35*1.05*1.03*1.08</f>
        <v/>
      </c>
      <c r="T502" s="4" t="n">
        <v>25.49333333333334</v>
      </c>
      <c r="U502" s="5">
        <f>(E502*T502)*1.35*1.05*1.03*1.08</f>
        <v/>
      </c>
      <c r="V502" s="4">
        <f>F502+N502+P502+R502+T502</f>
        <v/>
      </c>
      <c r="W502" s="5">
        <f>M502+O502+Q502+S502+U502</f>
        <v/>
      </c>
    </row>
    <row r="503">
      <c r="A503" t="inlineStr">
        <is>
          <t>MTEN - MCB Kaneohe Bay</t>
        </is>
      </c>
      <c r="B503" t="inlineStr">
        <is>
          <t>Network Administrator IV</t>
        </is>
      </c>
      <c r="C503" t="inlineStr">
        <is>
          <t>Non-SCA</t>
        </is>
      </c>
      <c r="D503" t="inlineStr">
        <is>
          <t>Exempt</t>
        </is>
      </c>
      <c r="E503" s="5" t="n">
        <v>80</v>
      </c>
      <c r="F503" s="4" t="n">
        <v>573.5999999999999</v>
      </c>
      <c r="G503" s="5">
        <f>E503*F503</f>
        <v/>
      </c>
      <c r="H503" s="5">
        <f>G503*0.35</f>
        <v/>
      </c>
      <c r="I503" s="5">
        <f>(G503+H503)*0.05</f>
        <v/>
      </c>
      <c r="J503" s="5">
        <f>(G503+H503+I503)*0.03</f>
        <v/>
      </c>
      <c r="K503" s="5">
        <f>G503+H503+I503+J503</f>
        <v/>
      </c>
      <c r="L503" s="5">
        <f>K503*0.08</f>
        <v/>
      </c>
      <c r="M503" s="5">
        <f>K503+L503</f>
        <v/>
      </c>
      <c r="N503" s="4" t="n">
        <v>114.72</v>
      </c>
      <c r="O503" s="5">
        <f>(E503*N503)*1.35*1.05*1.03*1.08</f>
        <v/>
      </c>
      <c r="P503" s="4" t="n">
        <v>114.72</v>
      </c>
      <c r="Q503" s="5">
        <f>(E503*P503)*1.35*1.05*1.03*1.08</f>
        <v/>
      </c>
      <c r="R503" s="4" t="n">
        <v>114.72</v>
      </c>
      <c r="S503" s="5">
        <f>(E503*R503)*1.35*1.05*1.03*1.08</f>
        <v/>
      </c>
      <c r="T503" s="4" t="n">
        <v>114.72</v>
      </c>
      <c r="U503" s="5">
        <f>(E503*T503)*1.35*1.05*1.03*1.08</f>
        <v/>
      </c>
      <c r="V503" s="4">
        <f>F503+N503+P503+R503+T503</f>
        <v/>
      </c>
      <c r="W503" s="5">
        <f>M503+O503+Q503+S503+U503</f>
        <v/>
      </c>
    </row>
    <row r="504">
      <c r="A504" t="inlineStr">
        <is>
          <t>MTEN - MCB Kaneohe Bay</t>
        </is>
      </c>
      <c r="B504" t="inlineStr">
        <is>
          <t>Network Engineer IV</t>
        </is>
      </c>
      <c r="C504" t="inlineStr">
        <is>
          <t>Non-SCA</t>
        </is>
      </c>
      <c r="D504" t="inlineStr">
        <is>
          <t>Exempt</t>
        </is>
      </c>
      <c r="E504" s="5" t="n">
        <v>95</v>
      </c>
      <c r="F504" s="4" t="n">
        <v>223.0666666666667</v>
      </c>
      <c r="G504" s="5">
        <f>E504*F504</f>
        <v/>
      </c>
      <c r="H504" s="5">
        <f>G504*0.35</f>
        <v/>
      </c>
      <c r="I504" s="5">
        <f>(G504+H504)*0.05</f>
        <v/>
      </c>
      <c r="J504" s="5">
        <f>(G504+H504+I504)*0.03</f>
        <v/>
      </c>
      <c r="K504" s="5">
        <f>G504+H504+I504+J504</f>
        <v/>
      </c>
      <c r="L504" s="5">
        <f>K504*0.08</f>
        <v/>
      </c>
      <c r="M504" s="5">
        <f>K504+L504</f>
        <v/>
      </c>
      <c r="N504" s="4" t="n">
        <v>44.61333333333334</v>
      </c>
      <c r="O504" s="5">
        <f>(E504*N504)*1.35*1.05*1.03*1.08</f>
        <v/>
      </c>
      <c r="P504" s="4" t="n">
        <v>44.61333333333334</v>
      </c>
      <c r="Q504" s="5">
        <f>(E504*P504)*1.35*1.05*1.03*1.08</f>
        <v/>
      </c>
      <c r="R504" s="4" t="n">
        <v>44.61333333333334</v>
      </c>
      <c r="S504" s="5">
        <f>(E504*R504)*1.35*1.05*1.03*1.08</f>
        <v/>
      </c>
      <c r="T504" s="4" t="n">
        <v>44.61333333333334</v>
      </c>
      <c r="U504" s="5">
        <f>(E504*T504)*1.35*1.05*1.03*1.08</f>
        <v/>
      </c>
      <c r="V504" s="4">
        <f>F504+N504+P504+R504+T504</f>
        <v/>
      </c>
      <c r="W504" s="5">
        <f>M504+O504+Q504+S504+U504</f>
        <v/>
      </c>
    </row>
    <row r="505">
      <c r="A505" t="inlineStr">
        <is>
          <t>MTEN - MCB Kaneohe Bay</t>
        </is>
      </c>
      <c r="B505" t="inlineStr">
        <is>
          <t>Tactical Data Link Analyst</t>
        </is>
      </c>
      <c r="C505" t="inlineStr">
        <is>
          <t>Non-SCA</t>
        </is>
      </c>
      <c r="D505" t="inlineStr">
        <is>
          <t>Exempt</t>
        </is>
      </c>
      <c r="E505" s="5" t="n">
        <v>75</v>
      </c>
      <c r="F505" s="4" t="n">
        <v>223.0666666666667</v>
      </c>
      <c r="G505" s="5">
        <f>E505*F505</f>
        <v/>
      </c>
      <c r="H505" s="5">
        <f>G505*0.35</f>
        <v/>
      </c>
      <c r="I505" s="5">
        <f>(G505+H505)*0.05</f>
        <v/>
      </c>
      <c r="J505" s="5">
        <f>(G505+H505+I505)*0.03</f>
        <v/>
      </c>
      <c r="K505" s="5">
        <f>G505+H505+I505+J505</f>
        <v/>
      </c>
      <c r="L505" s="5">
        <f>K505*0.08</f>
        <v/>
      </c>
      <c r="M505" s="5">
        <f>K505+L505</f>
        <v/>
      </c>
      <c r="N505" s="4" t="n">
        <v>44.61333333333334</v>
      </c>
      <c r="O505" s="5">
        <f>(E505*N505)*1.35*1.05*1.03*1.08</f>
        <v/>
      </c>
      <c r="P505" s="4" t="n">
        <v>44.61333333333334</v>
      </c>
      <c r="Q505" s="5">
        <f>(E505*P505)*1.35*1.05*1.03*1.08</f>
        <v/>
      </c>
      <c r="R505" s="4" t="n">
        <v>44.61333333333334</v>
      </c>
      <c r="S505" s="5">
        <f>(E505*R505)*1.35*1.05*1.03*1.08</f>
        <v/>
      </c>
      <c r="T505" s="4" t="n">
        <v>44.61333333333334</v>
      </c>
      <c r="U505" s="5">
        <f>(E505*T505)*1.35*1.05*1.03*1.08</f>
        <v/>
      </c>
      <c r="V505" s="4">
        <f>F505+N505+P505+R505+T505</f>
        <v/>
      </c>
      <c r="W505" s="5">
        <f>M505+O505+Q505+S505+U505</f>
        <v/>
      </c>
    </row>
    <row r="506">
      <c r="A506" t="inlineStr">
        <is>
          <t>MTEN - MCB Kaneohe Bay</t>
        </is>
      </c>
      <c r="B506" t="inlineStr">
        <is>
          <t>Technical Support Specialist</t>
        </is>
      </c>
      <c r="C506" t="inlineStr">
        <is>
          <t>Non-SCA</t>
        </is>
      </c>
      <c r="D506" t="inlineStr">
        <is>
          <t>Exempt</t>
        </is>
      </c>
      <c r="E506" s="5" t="n">
        <v>80</v>
      </c>
      <c r="F506" s="4" t="n">
        <v>446.1333333333334</v>
      </c>
      <c r="G506" s="5">
        <f>E506*F506</f>
        <v/>
      </c>
      <c r="H506" s="5">
        <f>G506*0.35</f>
        <v/>
      </c>
      <c r="I506" s="5">
        <f>(G506+H506)*0.05</f>
        <v/>
      </c>
      <c r="J506" s="5">
        <f>(G506+H506+I506)*0.03</f>
        <v/>
      </c>
      <c r="K506" s="5">
        <f>G506+H506+I506+J506</f>
        <v/>
      </c>
      <c r="L506" s="5">
        <f>K506*0.08</f>
        <v/>
      </c>
      <c r="M506" s="5">
        <f>K506+L506</f>
        <v/>
      </c>
      <c r="N506" s="4" t="n">
        <v>89.22666666666667</v>
      </c>
      <c r="O506" s="5">
        <f>(E506*N506)*1.35*1.05*1.03*1.08</f>
        <v/>
      </c>
      <c r="P506" s="4" t="n">
        <v>89.22666666666667</v>
      </c>
      <c r="Q506" s="5">
        <f>(E506*P506)*1.35*1.05*1.03*1.08</f>
        <v/>
      </c>
      <c r="R506" s="4" t="n">
        <v>89.22666666666667</v>
      </c>
      <c r="S506" s="5">
        <f>(E506*R506)*1.35*1.05*1.03*1.08</f>
        <v/>
      </c>
      <c r="T506" s="4" t="n">
        <v>89.22666666666667</v>
      </c>
      <c r="U506" s="5">
        <f>(E506*T506)*1.35*1.05*1.03*1.08</f>
        <v/>
      </c>
      <c r="V506" s="4">
        <f>F506+N506+P506+R506+T506</f>
        <v/>
      </c>
      <c r="W506" s="5">
        <f>M506+O506+Q506+S506+U506</f>
        <v/>
      </c>
    </row>
    <row r="507">
      <c r="A507" t="inlineStr">
        <is>
          <t>MTEN - MCB Quantico</t>
        </is>
      </c>
      <c r="B507" t="inlineStr">
        <is>
          <t>Cybersecurity Analyst III</t>
        </is>
      </c>
      <c r="C507" t="inlineStr">
        <is>
          <t>Non-SCA</t>
        </is>
      </c>
      <c r="D507" t="inlineStr">
        <is>
          <t>Exempt</t>
        </is>
      </c>
      <c r="E507" s="5" t="n">
        <v>80</v>
      </c>
      <c r="F507" s="4" t="n">
        <v>63.73333333333334</v>
      </c>
      <c r="G507" s="5">
        <f>E507*F507</f>
        <v/>
      </c>
      <c r="H507" s="5">
        <f>G507*0.35</f>
        <v/>
      </c>
      <c r="I507" s="5">
        <f>(G507+H507)*0.05</f>
        <v/>
      </c>
      <c r="J507" s="5">
        <f>(G507+H507+I507)*0.03</f>
        <v/>
      </c>
      <c r="K507" s="5">
        <f>G507+H507+I507+J507</f>
        <v/>
      </c>
      <c r="L507" s="5">
        <f>K507*0.08</f>
        <v/>
      </c>
      <c r="M507" s="5">
        <f>K507+L507</f>
        <v/>
      </c>
      <c r="N507" s="4" t="n">
        <v>12.74666666666667</v>
      </c>
      <c r="O507" s="5">
        <f>(E507*N507)*1.35*1.05*1.03*1.08</f>
        <v/>
      </c>
      <c r="P507" s="4" t="n">
        <v>12.74666666666667</v>
      </c>
      <c r="Q507" s="5">
        <f>(E507*P507)*1.35*1.05*1.03*1.08</f>
        <v/>
      </c>
      <c r="R507" s="4" t="n">
        <v>12.74666666666667</v>
      </c>
      <c r="S507" s="5">
        <f>(E507*R507)*1.35*1.05*1.03*1.08</f>
        <v/>
      </c>
      <c r="T507" s="4" t="n">
        <v>12.74666666666667</v>
      </c>
      <c r="U507" s="5">
        <f>(E507*T507)*1.35*1.05*1.03*1.08</f>
        <v/>
      </c>
      <c r="V507" s="4">
        <f>F507+N507+P507+R507+T507</f>
        <v/>
      </c>
      <c r="W507" s="5">
        <f>M507+O507+Q507+S507+U507</f>
        <v/>
      </c>
    </row>
    <row r="508">
      <c r="A508" t="inlineStr">
        <is>
          <t>MTEN - MCB Quantico</t>
        </is>
      </c>
      <c r="B508" t="inlineStr">
        <is>
          <t>Cybersecurity Analyst IV</t>
        </is>
      </c>
      <c r="C508" t="inlineStr">
        <is>
          <t>Non-SCA</t>
        </is>
      </c>
      <c r="D508" t="inlineStr">
        <is>
          <t>Exempt</t>
        </is>
      </c>
      <c r="E508" s="5" t="n">
        <v>80</v>
      </c>
      <c r="F508" s="4" t="n">
        <v>63.73333333333334</v>
      </c>
      <c r="G508" s="5">
        <f>E508*F508</f>
        <v/>
      </c>
      <c r="H508" s="5">
        <f>G508*0.35</f>
        <v/>
      </c>
      <c r="I508" s="5">
        <f>(G508+H508)*0.05</f>
        <v/>
      </c>
      <c r="J508" s="5">
        <f>(G508+H508+I508)*0.03</f>
        <v/>
      </c>
      <c r="K508" s="5">
        <f>G508+H508+I508+J508</f>
        <v/>
      </c>
      <c r="L508" s="5">
        <f>K508*0.08</f>
        <v/>
      </c>
      <c r="M508" s="5">
        <f>K508+L508</f>
        <v/>
      </c>
      <c r="N508" s="4" t="n">
        <v>12.74666666666667</v>
      </c>
      <c r="O508" s="5">
        <f>(E508*N508)*1.35*1.05*1.03*1.08</f>
        <v/>
      </c>
      <c r="P508" s="4" t="n">
        <v>12.74666666666667</v>
      </c>
      <c r="Q508" s="5">
        <f>(E508*P508)*1.35*1.05*1.03*1.08</f>
        <v/>
      </c>
      <c r="R508" s="4" t="n">
        <v>12.74666666666667</v>
      </c>
      <c r="S508" s="5">
        <f>(E508*R508)*1.35*1.05*1.03*1.08</f>
        <v/>
      </c>
      <c r="T508" s="4" t="n">
        <v>12.74666666666667</v>
      </c>
      <c r="U508" s="5">
        <f>(E508*T508)*1.35*1.05*1.03*1.08</f>
        <v/>
      </c>
      <c r="V508" s="4">
        <f>F508+N508+P508+R508+T508</f>
        <v/>
      </c>
      <c r="W508" s="5">
        <f>M508+O508+Q508+S508+U508</f>
        <v/>
      </c>
    </row>
    <row r="509">
      <c r="A509" t="inlineStr">
        <is>
          <t>MTEN - MCB Quantico</t>
        </is>
      </c>
      <c r="B509" t="inlineStr">
        <is>
          <t>Mission Coordinator</t>
        </is>
      </c>
      <c r="C509" t="inlineStr">
        <is>
          <t>Non-SCA</t>
        </is>
      </c>
      <c r="D509" t="inlineStr">
        <is>
          <t>Exempt</t>
        </is>
      </c>
      <c r="E509" s="5" t="n">
        <v>85</v>
      </c>
      <c r="F509" s="4" t="n">
        <v>223.0666666666667</v>
      </c>
      <c r="G509" s="5">
        <f>E509*F509</f>
        <v/>
      </c>
      <c r="H509" s="5">
        <f>G509*0.35</f>
        <v/>
      </c>
      <c r="I509" s="5">
        <f>(G509+H509)*0.05</f>
        <v/>
      </c>
      <c r="J509" s="5">
        <f>(G509+H509+I509)*0.03</f>
        <v/>
      </c>
      <c r="K509" s="5">
        <f>G509+H509+I509+J509</f>
        <v/>
      </c>
      <c r="L509" s="5">
        <f>K509*0.08</f>
        <v/>
      </c>
      <c r="M509" s="5">
        <f>K509+L509</f>
        <v/>
      </c>
      <c r="N509" s="4" t="n">
        <v>44.61333333333334</v>
      </c>
      <c r="O509" s="5">
        <f>(E509*N509)*1.35*1.05*1.03*1.08</f>
        <v/>
      </c>
      <c r="P509" s="4" t="n">
        <v>44.61333333333334</v>
      </c>
      <c r="Q509" s="5">
        <f>(E509*P509)*1.35*1.05*1.03*1.08</f>
        <v/>
      </c>
      <c r="R509" s="4" t="n">
        <v>44.61333333333334</v>
      </c>
      <c r="S509" s="5">
        <f>(E509*R509)*1.35*1.05*1.03*1.08</f>
        <v/>
      </c>
      <c r="T509" s="4" t="n">
        <v>44.61333333333334</v>
      </c>
      <c r="U509" s="5">
        <f>(E509*T509)*1.35*1.05*1.03*1.08</f>
        <v/>
      </c>
      <c r="V509" s="4">
        <f>F509+N509+P509+R509+T509</f>
        <v/>
      </c>
      <c r="W509" s="5">
        <f>M509+O509+Q509+S509+U509</f>
        <v/>
      </c>
    </row>
    <row r="510">
      <c r="A510" t="inlineStr">
        <is>
          <t>MTEN - MCB Quantico</t>
        </is>
      </c>
      <c r="B510" t="inlineStr">
        <is>
          <t>Network Administrator III</t>
        </is>
      </c>
      <c r="C510" t="inlineStr">
        <is>
          <t>Non-SCA</t>
        </is>
      </c>
      <c r="D510" t="inlineStr">
        <is>
          <t>Exempt</t>
        </is>
      </c>
      <c r="E510" s="5" t="n">
        <v>80</v>
      </c>
      <c r="F510" s="4" t="n">
        <v>127.4666666666667</v>
      </c>
      <c r="G510" s="5">
        <f>E510*F510</f>
        <v/>
      </c>
      <c r="H510" s="5">
        <f>G510*0.35</f>
        <v/>
      </c>
      <c r="I510" s="5">
        <f>(G510+H510)*0.05</f>
        <v/>
      </c>
      <c r="J510" s="5">
        <f>(G510+H510+I510)*0.03</f>
        <v/>
      </c>
      <c r="K510" s="5">
        <f>G510+H510+I510+J510</f>
        <v/>
      </c>
      <c r="L510" s="5">
        <f>K510*0.08</f>
        <v/>
      </c>
      <c r="M510" s="5">
        <f>K510+L510</f>
        <v/>
      </c>
      <c r="N510" s="4" t="n">
        <v>25.49333333333334</v>
      </c>
      <c r="O510" s="5">
        <f>(E510*N510)*1.35*1.05*1.03*1.08</f>
        <v/>
      </c>
      <c r="P510" s="4" t="n">
        <v>25.49333333333334</v>
      </c>
      <c r="Q510" s="5">
        <f>(E510*P510)*1.35*1.05*1.03*1.08</f>
        <v/>
      </c>
      <c r="R510" s="4" t="n">
        <v>25.49333333333334</v>
      </c>
      <c r="S510" s="5">
        <f>(E510*R510)*1.35*1.05*1.03*1.08</f>
        <v/>
      </c>
      <c r="T510" s="4" t="n">
        <v>25.49333333333334</v>
      </c>
      <c r="U510" s="5">
        <f>(E510*T510)*1.35*1.05*1.03*1.08</f>
        <v/>
      </c>
      <c r="V510" s="4">
        <f>F510+N510+P510+R510+T510</f>
        <v/>
      </c>
      <c r="W510" s="5">
        <f>M510+O510+Q510+S510+U510</f>
        <v/>
      </c>
    </row>
    <row r="511">
      <c r="A511" t="inlineStr">
        <is>
          <t>MTEN - MCB Quantico</t>
        </is>
      </c>
      <c r="B511" t="inlineStr">
        <is>
          <t>Network Administrator IV</t>
        </is>
      </c>
      <c r="C511" t="inlineStr">
        <is>
          <t>Non-SCA</t>
        </is>
      </c>
      <c r="D511" t="inlineStr">
        <is>
          <t>Exempt</t>
        </is>
      </c>
      <c r="E511" s="5" t="n">
        <v>80</v>
      </c>
      <c r="F511" s="4" t="n">
        <v>573.5999999999999</v>
      </c>
      <c r="G511" s="5">
        <f>E511*F511</f>
        <v/>
      </c>
      <c r="H511" s="5">
        <f>G511*0.35</f>
        <v/>
      </c>
      <c r="I511" s="5">
        <f>(G511+H511)*0.05</f>
        <v/>
      </c>
      <c r="J511" s="5">
        <f>(G511+H511+I511)*0.03</f>
        <v/>
      </c>
      <c r="K511" s="5">
        <f>G511+H511+I511+J511</f>
        <v/>
      </c>
      <c r="L511" s="5">
        <f>K511*0.08</f>
        <v/>
      </c>
      <c r="M511" s="5">
        <f>K511+L511</f>
        <v/>
      </c>
      <c r="N511" s="4" t="n">
        <v>114.72</v>
      </c>
      <c r="O511" s="5">
        <f>(E511*N511)*1.35*1.05*1.03*1.08</f>
        <v/>
      </c>
      <c r="P511" s="4" t="n">
        <v>114.72</v>
      </c>
      <c r="Q511" s="5">
        <f>(E511*P511)*1.35*1.05*1.03*1.08</f>
        <v/>
      </c>
      <c r="R511" s="4" t="n">
        <v>114.72</v>
      </c>
      <c r="S511" s="5">
        <f>(E511*R511)*1.35*1.05*1.03*1.08</f>
        <v/>
      </c>
      <c r="T511" s="4" t="n">
        <v>114.72</v>
      </c>
      <c r="U511" s="5">
        <f>(E511*T511)*1.35*1.05*1.03*1.08</f>
        <v/>
      </c>
      <c r="V511" s="4">
        <f>F511+N511+P511+R511+T511</f>
        <v/>
      </c>
      <c r="W511" s="5">
        <f>M511+O511+Q511+S511+U511</f>
        <v/>
      </c>
    </row>
    <row r="512">
      <c r="A512" t="inlineStr">
        <is>
          <t>MTEN - MCB Quantico</t>
        </is>
      </c>
      <c r="B512" t="inlineStr">
        <is>
          <t>Network Engineer IV</t>
        </is>
      </c>
      <c r="C512" t="inlineStr">
        <is>
          <t>Non-SCA</t>
        </is>
      </c>
      <c r="D512" t="inlineStr">
        <is>
          <t>Exempt</t>
        </is>
      </c>
      <c r="E512" s="5" t="n">
        <v>95</v>
      </c>
      <c r="F512" s="4" t="n">
        <v>223.0666666666667</v>
      </c>
      <c r="G512" s="5">
        <f>E512*F512</f>
        <v/>
      </c>
      <c r="H512" s="5">
        <f>G512*0.35</f>
        <v/>
      </c>
      <c r="I512" s="5">
        <f>(G512+H512)*0.05</f>
        <v/>
      </c>
      <c r="J512" s="5">
        <f>(G512+H512+I512)*0.03</f>
        <v/>
      </c>
      <c r="K512" s="5">
        <f>G512+H512+I512+J512</f>
        <v/>
      </c>
      <c r="L512" s="5">
        <f>K512*0.08</f>
        <v/>
      </c>
      <c r="M512" s="5">
        <f>K512+L512</f>
        <v/>
      </c>
      <c r="N512" s="4" t="n">
        <v>44.61333333333334</v>
      </c>
      <c r="O512" s="5">
        <f>(E512*N512)*1.35*1.05*1.03*1.08</f>
        <v/>
      </c>
      <c r="P512" s="4" t="n">
        <v>44.61333333333334</v>
      </c>
      <c r="Q512" s="5">
        <f>(E512*P512)*1.35*1.05*1.03*1.08</f>
        <v/>
      </c>
      <c r="R512" s="4" t="n">
        <v>44.61333333333334</v>
      </c>
      <c r="S512" s="5">
        <f>(E512*R512)*1.35*1.05*1.03*1.08</f>
        <v/>
      </c>
      <c r="T512" s="4" t="n">
        <v>44.61333333333334</v>
      </c>
      <c r="U512" s="5">
        <f>(E512*T512)*1.35*1.05*1.03*1.08</f>
        <v/>
      </c>
      <c r="V512" s="4">
        <f>F512+N512+P512+R512+T512</f>
        <v/>
      </c>
      <c r="W512" s="5">
        <f>M512+O512+Q512+S512+U512</f>
        <v/>
      </c>
    </row>
    <row r="513">
      <c r="A513" t="inlineStr">
        <is>
          <t>MTEN - MCB Quantico</t>
        </is>
      </c>
      <c r="B513" t="inlineStr">
        <is>
          <t>Tactical Data Link Analyst</t>
        </is>
      </c>
      <c r="C513" t="inlineStr">
        <is>
          <t>Non-SCA</t>
        </is>
      </c>
      <c r="D513" t="inlineStr">
        <is>
          <t>Exempt</t>
        </is>
      </c>
      <c r="E513" s="5" t="n">
        <v>75</v>
      </c>
      <c r="F513" s="4" t="n">
        <v>223.0666666666667</v>
      </c>
      <c r="G513" s="5">
        <f>E513*F513</f>
        <v/>
      </c>
      <c r="H513" s="5">
        <f>G513*0.35</f>
        <v/>
      </c>
      <c r="I513" s="5">
        <f>(G513+H513)*0.05</f>
        <v/>
      </c>
      <c r="J513" s="5">
        <f>(G513+H513+I513)*0.03</f>
        <v/>
      </c>
      <c r="K513" s="5">
        <f>G513+H513+I513+J513</f>
        <v/>
      </c>
      <c r="L513" s="5">
        <f>K513*0.08</f>
        <v/>
      </c>
      <c r="M513" s="5">
        <f>K513+L513</f>
        <v/>
      </c>
      <c r="N513" s="4" t="n">
        <v>44.61333333333334</v>
      </c>
      <c r="O513" s="5">
        <f>(E513*N513)*1.35*1.05*1.03*1.08</f>
        <v/>
      </c>
      <c r="P513" s="4" t="n">
        <v>44.61333333333334</v>
      </c>
      <c r="Q513" s="5">
        <f>(E513*P513)*1.35*1.05*1.03*1.08</f>
        <v/>
      </c>
      <c r="R513" s="4" t="n">
        <v>44.61333333333334</v>
      </c>
      <c r="S513" s="5">
        <f>(E513*R513)*1.35*1.05*1.03*1.08</f>
        <v/>
      </c>
      <c r="T513" s="4" t="n">
        <v>44.61333333333334</v>
      </c>
      <c r="U513" s="5">
        <f>(E513*T513)*1.35*1.05*1.03*1.08</f>
        <v/>
      </c>
      <c r="V513" s="4">
        <f>F513+N513+P513+R513+T513</f>
        <v/>
      </c>
      <c r="W513" s="5">
        <f>M513+O513+Q513+S513+U513</f>
        <v/>
      </c>
    </row>
    <row r="514">
      <c r="A514" t="inlineStr">
        <is>
          <t>MTEN - MCB Quantico</t>
        </is>
      </c>
      <c r="B514" t="inlineStr">
        <is>
          <t>Technical Support Specialist</t>
        </is>
      </c>
      <c r="C514" t="inlineStr">
        <is>
          <t>Non-SCA</t>
        </is>
      </c>
      <c r="D514" t="inlineStr">
        <is>
          <t>Exempt</t>
        </is>
      </c>
      <c r="E514" s="5" t="n">
        <v>80</v>
      </c>
      <c r="F514" s="4" t="n">
        <v>446.1333333333334</v>
      </c>
      <c r="G514" s="5">
        <f>E514*F514</f>
        <v/>
      </c>
      <c r="H514" s="5">
        <f>G514*0.35</f>
        <v/>
      </c>
      <c r="I514" s="5">
        <f>(G514+H514)*0.05</f>
        <v/>
      </c>
      <c r="J514" s="5">
        <f>(G514+H514+I514)*0.03</f>
        <v/>
      </c>
      <c r="K514" s="5">
        <f>G514+H514+I514+J514</f>
        <v/>
      </c>
      <c r="L514" s="5">
        <f>K514*0.08</f>
        <v/>
      </c>
      <c r="M514" s="5">
        <f>K514+L514</f>
        <v/>
      </c>
      <c r="N514" s="4" t="n">
        <v>89.22666666666667</v>
      </c>
      <c r="O514" s="5">
        <f>(E514*N514)*1.35*1.05*1.03*1.08</f>
        <v/>
      </c>
      <c r="P514" s="4" t="n">
        <v>89.22666666666667</v>
      </c>
      <c r="Q514" s="5">
        <f>(E514*P514)*1.35*1.05*1.03*1.08</f>
        <v/>
      </c>
      <c r="R514" s="4" t="n">
        <v>89.22666666666667</v>
      </c>
      <c r="S514" s="5">
        <f>(E514*R514)*1.35*1.05*1.03*1.08</f>
        <v/>
      </c>
      <c r="T514" s="4" t="n">
        <v>89.22666666666667</v>
      </c>
      <c r="U514" s="5">
        <f>(E514*T514)*1.35*1.05*1.03*1.08</f>
        <v/>
      </c>
      <c r="V514" s="4">
        <f>F514+N514+P514+R514+T514</f>
        <v/>
      </c>
      <c r="W514" s="5">
        <f>M514+O514+Q514+S514+U514</f>
        <v/>
      </c>
    </row>
    <row r="515">
      <c r="A515" t="inlineStr">
        <is>
          <t>MTEN - Okinawa</t>
        </is>
      </c>
      <c r="B515" t="inlineStr">
        <is>
          <t>Cybersecurity Analyst III</t>
        </is>
      </c>
      <c r="C515" t="inlineStr">
        <is>
          <t>Non-SCA</t>
        </is>
      </c>
      <c r="D515" t="inlineStr">
        <is>
          <t>Exempt</t>
        </is>
      </c>
      <c r="E515" s="5" t="n">
        <v>80</v>
      </c>
      <c r="F515" s="4" t="n">
        <v>63.73333333333334</v>
      </c>
      <c r="G515" s="5">
        <f>E515*F515</f>
        <v/>
      </c>
      <c r="H515" s="5">
        <f>G515*0.35</f>
        <v/>
      </c>
      <c r="I515" s="5">
        <f>(G515+H515)*0.05</f>
        <v/>
      </c>
      <c r="J515" s="5">
        <f>(G515+H515+I515)*0.03</f>
        <v/>
      </c>
      <c r="K515" s="5">
        <f>G515+H515+I515+J515</f>
        <v/>
      </c>
      <c r="L515" s="5">
        <f>K515*0.08</f>
        <v/>
      </c>
      <c r="M515" s="5">
        <f>K515+L515</f>
        <v/>
      </c>
      <c r="N515" s="4" t="n">
        <v>12.74666666666667</v>
      </c>
      <c r="O515" s="5">
        <f>(E515*N515)*1.35*1.05*1.03*1.08</f>
        <v/>
      </c>
      <c r="P515" s="4" t="n">
        <v>12.74666666666667</v>
      </c>
      <c r="Q515" s="5">
        <f>(E515*P515)*1.35*1.05*1.03*1.08</f>
        <v/>
      </c>
      <c r="R515" s="4" t="n">
        <v>12.74666666666667</v>
      </c>
      <c r="S515" s="5">
        <f>(E515*R515)*1.35*1.05*1.03*1.08</f>
        <v/>
      </c>
      <c r="T515" s="4" t="n">
        <v>12.74666666666667</v>
      </c>
      <c r="U515" s="5">
        <f>(E515*T515)*1.35*1.05*1.03*1.08</f>
        <v/>
      </c>
      <c r="V515" s="4">
        <f>F515+N515+P515+R515+T515</f>
        <v/>
      </c>
      <c r="W515" s="5">
        <f>M515+O515+Q515+S515+U515</f>
        <v/>
      </c>
    </row>
    <row r="516">
      <c r="A516" t="inlineStr">
        <is>
          <t>MTEN - Okinawa</t>
        </is>
      </c>
      <c r="B516" t="inlineStr">
        <is>
          <t>Cybersecurity Analyst IV</t>
        </is>
      </c>
      <c r="C516" t="inlineStr">
        <is>
          <t>Non-SCA</t>
        </is>
      </c>
      <c r="D516" t="inlineStr">
        <is>
          <t>Exempt</t>
        </is>
      </c>
      <c r="E516" s="5" t="n">
        <v>80</v>
      </c>
      <c r="F516" s="4" t="n">
        <v>63.73333333333334</v>
      </c>
      <c r="G516" s="5">
        <f>E516*F516</f>
        <v/>
      </c>
      <c r="H516" s="5">
        <f>G516*0.35</f>
        <v/>
      </c>
      <c r="I516" s="5">
        <f>(G516+H516)*0.05</f>
        <v/>
      </c>
      <c r="J516" s="5">
        <f>(G516+H516+I516)*0.03</f>
        <v/>
      </c>
      <c r="K516" s="5">
        <f>G516+H516+I516+J516</f>
        <v/>
      </c>
      <c r="L516" s="5">
        <f>K516*0.08</f>
        <v/>
      </c>
      <c r="M516" s="5">
        <f>K516+L516</f>
        <v/>
      </c>
      <c r="N516" s="4" t="n">
        <v>12.74666666666667</v>
      </c>
      <c r="O516" s="5">
        <f>(E516*N516)*1.35*1.05*1.03*1.08</f>
        <v/>
      </c>
      <c r="P516" s="4" t="n">
        <v>12.74666666666667</v>
      </c>
      <c r="Q516" s="5">
        <f>(E516*P516)*1.35*1.05*1.03*1.08</f>
        <v/>
      </c>
      <c r="R516" s="4" t="n">
        <v>12.74666666666667</v>
      </c>
      <c r="S516" s="5">
        <f>(E516*R516)*1.35*1.05*1.03*1.08</f>
        <v/>
      </c>
      <c r="T516" s="4" t="n">
        <v>12.74666666666667</v>
      </c>
      <c r="U516" s="5">
        <f>(E516*T516)*1.35*1.05*1.03*1.08</f>
        <v/>
      </c>
      <c r="V516" s="4">
        <f>F516+N516+P516+R516+T516</f>
        <v/>
      </c>
      <c r="W516" s="5">
        <f>M516+O516+Q516+S516+U516</f>
        <v/>
      </c>
    </row>
    <row r="517">
      <c r="A517" t="inlineStr">
        <is>
          <t>MTEN - Okinawa</t>
        </is>
      </c>
      <c r="B517" t="inlineStr">
        <is>
          <t>Mission Coordinator</t>
        </is>
      </c>
      <c r="C517" t="inlineStr">
        <is>
          <t>Non-SCA</t>
        </is>
      </c>
      <c r="D517" t="inlineStr">
        <is>
          <t>Exempt</t>
        </is>
      </c>
      <c r="E517" s="5" t="n">
        <v>85</v>
      </c>
      <c r="F517" s="4" t="n">
        <v>223.0666666666667</v>
      </c>
      <c r="G517" s="5">
        <f>E517*F517</f>
        <v/>
      </c>
      <c r="H517" s="5">
        <f>G517*0.35</f>
        <v/>
      </c>
      <c r="I517" s="5">
        <f>(G517+H517)*0.05</f>
        <v/>
      </c>
      <c r="J517" s="5">
        <f>(G517+H517+I517)*0.03</f>
        <v/>
      </c>
      <c r="K517" s="5">
        <f>G517+H517+I517+J517</f>
        <v/>
      </c>
      <c r="L517" s="5">
        <f>K517*0.08</f>
        <v/>
      </c>
      <c r="M517" s="5">
        <f>K517+L517</f>
        <v/>
      </c>
      <c r="N517" s="4" t="n">
        <v>44.61333333333334</v>
      </c>
      <c r="O517" s="5">
        <f>(E517*N517)*1.35*1.05*1.03*1.08</f>
        <v/>
      </c>
      <c r="P517" s="4" t="n">
        <v>44.61333333333334</v>
      </c>
      <c r="Q517" s="5">
        <f>(E517*P517)*1.35*1.05*1.03*1.08</f>
        <v/>
      </c>
      <c r="R517" s="4" t="n">
        <v>44.61333333333334</v>
      </c>
      <c r="S517" s="5">
        <f>(E517*R517)*1.35*1.05*1.03*1.08</f>
        <v/>
      </c>
      <c r="T517" s="4" t="n">
        <v>44.61333333333334</v>
      </c>
      <c r="U517" s="5">
        <f>(E517*T517)*1.35*1.05*1.03*1.08</f>
        <v/>
      </c>
      <c r="V517" s="4">
        <f>F517+N517+P517+R517+T517</f>
        <v/>
      </c>
      <c r="W517" s="5">
        <f>M517+O517+Q517+S517+U517</f>
        <v/>
      </c>
    </row>
    <row r="518">
      <c r="A518" t="inlineStr">
        <is>
          <t>MTEN - Okinawa</t>
        </is>
      </c>
      <c r="B518" t="inlineStr">
        <is>
          <t>Network Administrator III</t>
        </is>
      </c>
      <c r="C518" t="inlineStr">
        <is>
          <t>Non-SCA</t>
        </is>
      </c>
      <c r="D518" t="inlineStr">
        <is>
          <t>Exempt</t>
        </is>
      </c>
      <c r="E518" s="5" t="n">
        <v>80</v>
      </c>
      <c r="F518" s="4" t="n">
        <v>127.4666666666667</v>
      </c>
      <c r="G518" s="5">
        <f>E518*F518</f>
        <v/>
      </c>
      <c r="H518" s="5">
        <f>G518*0.35</f>
        <v/>
      </c>
      <c r="I518" s="5">
        <f>(G518+H518)*0.05</f>
        <v/>
      </c>
      <c r="J518" s="5">
        <f>(G518+H518+I518)*0.03</f>
        <v/>
      </c>
      <c r="K518" s="5">
        <f>G518+H518+I518+J518</f>
        <v/>
      </c>
      <c r="L518" s="5">
        <f>K518*0.08</f>
        <v/>
      </c>
      <c r="M518" s="5">
        <f>K518+L518</f>
        <v/>
      </c>
      <c r="N518" s="4" t="n">
        <v>25.49333333333334</v>
      </c>
      <c r="O518" s="5">
        <f>(E518*N518)*1.35*1.05*1.03*1.08</f>
        <v/>
      </c>
      <c r="P518" s="4" t="n">
        <v>25.49333333333334</v>
      </c>
      <c r="Q518" s="5">
        <f>(E518*P518)*1.35*1.05*1.03*1.08</f>
        <v/>
      </c>
      <c r="R518" s="4" t="n">
        <v>25.49333333333334</v>
      </c>
      <c r="S518" s="5">
        <f>(E518*R518)*1.35*1.05*1.03*1.08</f>
        <v/>
      </c>
      <c r="T518" s="4" t="n">
        <v>25.49333333333334</v>
      </c>
      <c r="U518" s="5">
        <f>(E518*T518)*1.35*1.05*1.03*1.08</f>
        <v/>
      </c>
      <c r="V518" s="4">
        <f>F518+N518+P518+R518+T518</f>
        <v/>
      </c>
      <c r="W518" s="5">
        <f>M518+O518+Q518+S518+U518</f>
        <v/>
      </c>
    </row>
    <row r="519">
      <c r="A519" t="inlineStr">
        <is>
          <t>MTEN - Okinawa</t>
        </is>
      </c>
      <c r="B519" t="inlineStr">
        <is>
          <t>Network Administrator IV</t>
        </is>
      </c>
      <c r="C519" t="inlineStr">
        <is>
          <t>Non-SCA</t>
        </is>
      </c>
      <c r="D519" t="inlineStr">
        <is>
          <t>Exempt</t>
        </is>
      </c>
      <c r="E519" s="5" t="n">
        <v>80</v>
      </c>
      <c r="F519" s="4" t="n">
        <v>573.5999999999999</v>
      </c>
      <c r="G519" s="5">
        <f>E519*F519</f>
        <v/>
      </c>
      <c r="H519" s="5">
        <f>G519*0.35</f>
        <v/>
      </c>
      <c r="I519" s="5">
        <f>(G519+H519)*0.05</f>
        <v/>
      </c>
      <c r="J519" s="5">
        <f>(G519+H519+I519)*0.03</f>
        <v/>
      </c>
      <c r="K519" s="5">
        <f>G519+H519+I519+J519</f>
        <v/>
      </c>
      <c r="L519" s="5">
        <f>K519*0.08</f>
        <v/>
      </c>
      <c r="M519" s="5">
        <f>K519+L519</f>
        <v/>
      </c>
      <c r="N519" s="4" t="n">
        <v>114.72</v>
      </c>
      <c r="O519" s="5">
        <f>(E519*N519)*1.35*1.05*1.03*1.08</f>
        <v/>
      </c>
      <c r="P519" s="4" t="n">
        <v>114.72</v>
      </c>
      <c r="Q519" s="5">
        <f>(E519*P519)*1.35*1.05*1.03*1.08</f>
        <v/>
      </c>
      <c r="R519" s="4" t="n">
        <v>114.72</v>
      </c>
      <c r="S519" s="5">
        <f>(E519*R519)*1.35*1.05*1.03*1.08</f>
        <v/>
      </c>
      <c r="T519" s="4" t="n">
        <v>114.72</v>
      </c>
      <c r="U519" s="5">
        <f>(E519*T519)*1.35*1.05*1.03*1.08</f>
        <v/>
      </c>
      <c r="V519" s="4">
        <f>F519+N519+P519+R519+T519</f>
        <v/>
      </c>
      <c r="W519" s="5">
        <f>M519+O519+Q519+S519+U519</f>
        <v/>
      </c>
    </row>
    <row r="520">
      <c r="A520" t="inlineStr">
        <is>
          <t>MTEN - Okinawa</t>
        </is>
      </c>
      <c r="B520" t="inlineStr">
        <is>
          <t>Network Engineer IV</t>
        </is>
      </c>
      <c r="C520" t="inlineStr">
        <is>
          <t>Non-SCA</t>
        </is>
      </c>
      <c r="D520" t="inlineStr">
        <is>
          <t>Exempt</t>
        </is>
      </c>
      <c r="E520" s="5" t="n">
        <v>95</v>
      </c>
      <c r="F520" s="4" t="n">
        <v>223.0666666666667</v>
      </c>
      <c r="G520" s="5">
        <f>E520*F520</f>
        <v/>
      </c>
      <c r="H520" s="5">
        <f>G520*0.35</f>
        <v/>
      </c>
      <c r="I520" s="5">
        <f>(G520+H520)*0.05</f>
        <v/>
      </c>
      <c r="J520" s="5">
        <f>(G520+H520+I520)*0.03</f>
        <v/>
      </c>
      <c r="K520" s="5">
        <f>G520+H520+I520+J520</f>
        <v/>
      </c>
      <c r="L520" s="5">
        <f>K520*0.08</f>
        <v/>
      </c>
      <c r="M520" s="5">
        <f>K520+L520</f>
        <v/>
      </c>
      <c r="N520" s="4" t="n">
        <v>44.61333333333334</v>
      </c>
      <c r="O520" s="5">
        <f>(E520*N520)*1.35*1.05*1.03*1.08</f>
        <v/>
      </c>
      <c r="P520" s="4" t="n">
        <v>44.61333333333334</v>
      </c>
      <c r="Q520" s="5">
        <f>(E520*P520)*1.35*1.05*1.03*1.08</f>
        <v/>
      </c>
      <c r="R520" s="4" t="n">
        <v>44.61333333333334</v>
      </c>
      <c r="S520" s="5">
        <f>(E520*R520)*1.35*1.05*1.03*1.08</f>
        <v/>
      </c>
      <c r="T520" s="4" t="n">
        <v>44.61333333333334</v>
      </c>
      <c r="U520" s="5">
        <f>(E520*T520)*1.35*1.05*1.03*1.08</f>
        <v/>
      </c>
      <c r="V520" s="4">
        <f>F520+N520+P520+R520+T520</f>
        <v/>
      </c>
      <c r="W520" s="5">
        <f>M520+O520+Q520+S520+U520</f>
        <v/>
      </c>
    </row>
    <row r="521">
      <c r="A521" t="inlineStr">
        <is>
          <t>MTEN - Okinawa</t>
        </is>
      </c>
      <c r="B521" t="inlineStr">
        <is>
          <t>Tactical Data Link Analyst</t>
        </is>
      </c>
      <c r="C521" t="inlineStr">
        <is>
          <t>Non-SCA</t>
        </is>
      </c>
      <c r="D521" t="inlineStr">
        <is>
          <t>Exempt</t>
        </is>
      </c>
      <c r="E521" s="5" t="n">
        <v>75</v>
      </c>
      <c r="F521" s="4" t="n">
        <v>223.0666666666667</v>
      </c>
      <c r="G521" s="5">
        <f>E521*F521</f>
        <v/>
      </c>
      <c r="H521" s="5">
        <f>G521*0.35</f>
        <v/>
      </c>
      <c r="I521" s="5">
        <f>(G521+H521)*0.05</f>
        <v/>
      </c>
      <c r="J521" s="5">
        <f>(G521+H521+I521)*0.03</f>
        <v/>
      </c>
      <c r="K521" s="5">
        <f>G521+H521+I521+J521</f>
        <v/>
      </c>
      <c r="L521" s="5">
        <f>K521*0.08</f>
        <v/>
      </c>
      <c r="M521" s="5">
        <f>K521+L521</f>
        <v/>
      </c>
      <c r="N521" s="4" t="n">
        <v>44.61333333333334</v>
      </c>
      <c r="O521" s="5">
        <f>(E521*N521)*1.35*1.05*1.03*1.08</f>
        <v/>
      </c>
      <c r="P521" s="4" t="n">
        <v>44.61333333333334</v>
      </c>
      <c r="Q521" s="5">
        <f>(E521*P521)*1.35*1.05*1.03*1.08</f>
        <v/>
      </c>
      <c r="R521" s="4" t="n">
        <v>44.61333333333334</v>
      </c>
      <c r="S521" s="5">
        <f>(E521*R521)*1.35*1.05*1.03*1.08</f>
        <v/>
      </c>
      <c r="T521" s="4" t="n">
        <v>44.61333333333334</v>
      </c>
      <c r="U521" s="5">
        <f>(E521*T521)*1.35*1.05*1.03*1.08</f>
        <v/>
      </c>
      <c r="V521" s="4">
        <f>F521+N521+P521+R521+T521</f>
        <v/>
      </c>
      <c r="W521" s="5">
        <f>M521+O521+Q521+S521+U521</f>
        <v/>
      </c>
    </row>
    <row r="522">
      <c r="A522" t="inlineStr">
        <is>
          <t>MTEN - Okinawa</t>
        </is>
      </c>
      <c r="B522" t="inlineStr">
        <is>
          <t>Technical Support Specialist</t>
        </is>
      </c>
      <c r="C522" t="inlineStr">
        <is>
          <t>Non-SCA</t>
        </is>
      </c>
      <c r="D522" t="inlineStr">
        <is>
          <t>Exempt</t>
        </is>
      </c>
      <c r="E522" s="5" t="n">
        <v>80</v>
      </c>
      <c r="F522" s="4" t="n">
        <v>446.1333333333334</v>
      </c>
      <c r="G522" s="5">
        <f>E522*F522</f>
        <v/>
      </c>
      <c r="H522" s="5">
        <f>G522*0.35</f>
        <v/>
      </c>
      <c r="I522" s="5">
        <f>(G522+H522)*0.05</f>
        <v/>
      </c>
      <c r="J522" s="5">
        <f>(G522+H522+I522)*0.03</f>
        <v/>
      </c>
      <c r="K522" s="5">
        <f>G522+H522+I522+J522</f>
        <v/>
      </c>
      <c r="L522" s="5">
        <f>K522*0.08</f>
        <v/>
      </c>
      <c r="M522" s="5">
        <f>K522+L522</f>
        <v/>
      </c>
      <c r="N522" s="4" t="n">
        <v>89.22666666666667</v>
      </c>
      <c r="O522" s="5">
        <f>(E522*N522)*1.35*1.05*1.03*1.08</f>
        <v/>
      </c>
      <c r="P522" s="4" t="n">
        <v>89.22666666666667</v>
      </c>
      <c r="Q522" s="5">
        <f>(E522*P522)*1.35*1.05*1.03*1.08</f>
        <v/>
      </c>
      <c r="R522" s="4" t="n">
        <v>89.22666666666667</v>
      </c>
      <c r="S522" s="5">
        <f>(E522*R522)*1.35*1.05*1.03*1.08</f>
        <v/>
      </c>
      <c r="T522" s="4" t="n">
        <v>89.22666666666667</v>
      </c>
      <c r="U522" s="5">
        <f>(E522*T522)*1.35*1.05*1.03*1.08</f>
        <v/>
      </c>
      <c r="V522" s="4">
        <f>F522+N522+P522+R522+T522</f>
        <v/>
      </c>
      <c r="W522" s="5">
        <f>M522+O522+Q522+S522+U522</f>
        <v/>
      </c>
    </row>
    <row r="523">
      <c r="A523" s="9" t="inlineStr">
        <is>
          <t>TOTAL LABOR</t>
        </is>
      </c>
      <c r="F523" s="14">
        <f>SUM(F12:F522)</f>
        <v/>
      </c>
      <c r="G523" s="15">
        <f>SUM(G12:G522)</f>
        <v/>
      </c>
      <c r="H523" s="15">
        <f>SUM(H12:H522)</f>
        <v/>
      </c>
      <c r="I523" s="15">
        <f>SUM(I12:I522)</f>
        <v/>
      </c>
      <c r="J523" s="15">
        <f>SUM(J12:J522)</f>
        <v/>
      </c>
      <c r="K523" s="15">
        <f>SUM(K12:K522)</f>
        <v/>
      </c>
      <c r="L523" s="15">
        <f>SUM(L12:L522)</f>
        <v/>
      </c>
      <c r="M523" s="15">
        <f>SUM(M12:M522)</f>
        <v/>
      </c>
      <c r="N523" s="14">
        <f>SUM(N12:N522)</f>
        <v/>
      </c>
      <c r="O523" s="15">
        <f>SUM(O12:O522)</f>
        <v/>
      </c>
      <c r="P523" s="14">
        <f>SUM(P12:P522)</f>
        <v/>
      </c>
      <c r="Q523" s="15">
        <f>SUM(Q12:Q522)</f>
        <v/>
      </c>
      <c r="R523" s="14">
        <f>SUM(R12:R522)</f>
        <v/>
      </c>
      <c r="S523" s="15">
        <f>SUM(S12:S522)</f>
        <v/>
      </c>
      <c r="T523" s="14">
        <f>SUM(T12:T522)</f>
        <v/>
      </c>
      <c r="U523" s="15">
        <f>SUM(U12:U522)</f>
        <v/>
      </c>
      <c r="V523" s="14">
        <f>SUM(V12:V522)</f>
        <v/>
      </c>
      <c r="W523" s="15">
        <f>SUM(W12:W522)</f>
        <v/>
      </c>
    </row>
  </sheetData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COST SUMMARY BY LOCATION</t>
        </is>
      </c>
    </row>
    <row r="3">
      <c r="A3" s="16" t="inlineStr">
        <is>
          <t>Location</t>
        </is>
      </c>
      <c r="B3" s="16" t="inlineStr">
        <is>
          <t>Total Hours</t>
        </is>
      </c>
      <c r="C3" s="16" t="inlineStr">
        <is>
          <t>Base Period</t>
        </is>
      </c>
      <c r="D3" s="16" t="inlineStr">
        <is>
          <t>OY1</t>
        </is>
      </c>
      <c r="E3" s="16" t="inlineStr">
        <is>
          <t>OY2</t>
        </is>
      </c>
      <c r="F3" s="16" t="inlineStr">
        <is>
          <t>OY3</t>
        </is>
      </c>
      <c r="G3" s="16" t="inlineStr">
        <is>
          <t>OY4</t>
        </is>
      </c>
      <c r="H3" s="16" t="inlineStr">
        <is>
          <t>Total Cost</t>
        </is>
      </c>
    </row>
    <row r="4">
      <c r="A4" t="inlineStr">
        <is>
          <t>Beaufort</t>
        </is>
      </c>
      <c r="B4" s="4" t="n">
        <v>333491.04</v>
      </c>
      <c r="C4" s="5" t="n">
        <v>14427258.99160393</v>
      </c>
      <c r="D4" s="5" t="n">
        <v>2885451.798320785</v>
      </c>
      <c r="E4" s="5" t="n">
        <v>2885451.798320785</v>
      </c>
      <c r="F4" s="5" t="n">
        <v>2885451.798320785</v>
      </c>
      <c r="G4" s="5" t="n">
        <v>2885451.798320785</v>
      </c>
    </row>
    <row r="5">
      <c r="A5" t="inlineStr">
        <is>
          <t>CP</t>
        </is>
      </c>
      <c r="B5" s="4" t="n">
        <v>1175994.72</v>
      </c>
      <c r="C5" s="5" t="n">
        <v>45453938.20015962</v>
      </c>
      <c r="D5" s="5" t="n">
        <v>9090787.640031926</v>
      </c>
      <c r="E5" s="5" t="n">
        <v>9090787.640031926</v>
      </c>
      <c r="F5" s="5" t="n">
        <v>9090787.640031926</v>
      </c>
      <c r="G5" s="5" t="n">
        <v>9090787.640031926</v>
      </c>
    </row>
    <row r="6">
      <c r="A6" t="inlineStr">
        <is>
          <t>El Centro</t>
        </is>
      </c>
      <c r="B6" s="4" t="n">
        <v>122865.12</v>
      </c>
      <c r="C6" s="5" t="n">
        <v>3806164.010211697</v>
      </c>
      <c r="D6" s="5" t="n">
        <v>761232.8020423395</v>
      </c>
      <c r="E6" s="5" t="n">
        <v>761232.8020423395</v>
      </c>
      <c r="F6" s="5" t="n">
        <v>761232.8020423395</v>
      </c>
      <c r="G6" s="5" t="n">
        <v>761232.8020423395</v>
      </c>
    </row>
    <row r="7">
      <c r="A7" t="inlineStr">
        <is>
          <t>Fallon</t>
        </is>
      </c>
      <c r="B7" s="4" t="n">
        <v>3176940.96</v>
      </c>
      <c r="C7" s="5" t="n">
        <v>130242030.5748492</v>
      </c>
      <c r="D7" s="5" t="n">
        <v>26048406.11496985</v>
      </c>
      <c r="E7" s="5" t="n">
        <v>26048406.11496985</v>
      </c>
      <c r="F7" s="5" t="n">
        <v>26048406.11496985</v>
      </c>
      <c r="G7" s="5" t="n">
        <v>26048406.11496985</v>
      </c>
    </row>
    <row r="8">
      <c r="A8" t="inlineStr">
        <is>
          <t>Hefti</t>
        </is>
      </c>
      <c r="B8" s="4" t="n">
        <v>3071628</v>
      </c>
      <c r="C8" s="5" t="n">
        <v>216724091.9606281</v>
      </c>
      <c r="D8" s="5" t="n">
        <v>43344818.39212561</v>
      </c>
      <c r="E8" s="5" t="n">
        <v>43344818.39212561</v>
      </c>
      <c r="F8" s="5" t="n">
        <v>43344818.39212561</v>
      </c>
      <c r="G8" s="5" t="n">
        <v>43344818.39212561</v>
      </c>
    </row>
    <row r="9">
      <c r="A9" t="inlineStr">
        <is>
          <t>JAX</t>
        </is>
      </c>
      <c r="B9" s="4" t="n">
        <v>386147.52</v>
      </c>
      <c r="C9" s="5" t="n">
        <v>16503935.53365447</v>
      </c>
      <c r="D9" s="5" t="n">
        <v>3300787.106730894</v>
      </c>
      <c r="E9" s="5" t="n">
        <v>3300787.106730894</v>
      </c>
      <c r="F9" s="5" t="n">
        <v>3300787.106730894</v>
      </c>
      <c r="G9" s="5" t="n">
        <v>3300787.106730894</v>
      </c>
    </row>
    <row r="10">
      <c r="A10" t="inlineStr">
        <is>
          <t>Key West</t>
        </is>
      </c>
      <c r="B10" s="4" t="n">
        <v>351043.2</v>
      </c>
      <c r="C10" s="5" t="n">
        <v>17153108.3724326</v>
      </c>
      <c r="D10" s="5" t="n">
        <v>3430621.674486519</v>
      </c>
      <c r="E10" s="5" t="n">
        <v>3430621.674486519</v>
      </c>
      <c r="F10" s="5" t="n">
        <v>3430621.674486519</v>
      </c>
      <c r="G10" s="5" t="n">
        <v>3430621.674486519</v>
      </c>
    </row>
    <row r="11">
      <c r="A11" t="inlineStr">
        <is>
          <t>Lemoore</t>
        </is>
      </c>
      <c r="B11" s="4" t="n">
        <v>315938.88</v>
      </c>
      <c r="C11" s="5" t="n">
        <v>14664202.46497131</v>
      </c>
      <c r="D11" s="5" t="n">
        <v>2932840.492994261</v>
      </c>
      <c r="E11" s="5" t="n">
        <v>2932840.492994261</v>
      </c>
      <c r="F11" s="5" t="n">
        <v>2932840.492994261</v>
      </c>
      <c r="G11" s="5" t="n">
        <v>2932840.492994261</v>
      </c>
    </row>
    <row r="12">
      <c r="A12" t="inlineStr">
        <is>
          <t>MTEN - 29 Palms</t>
        </is>
      </c>
      <c r="B12" s="4" t="n">
        <v>178446.96</v>
      </c>
      <c r="C12" s="5" t="n">
        <v>12774856.313394</v>
      </c>
      <c r="D12" s="5" t="n">
        <v>2554971.262678801</v>
      </c>
      <c r="E12" s="5" t="n">
        <v>2554971.262678801</v>
      </c>
      <c r="F12" s="5" t="n">
        <v>2554971.262678801</v>
      </c>
      <c r="G12" s="5" t="n">
        <v>2554971.262678801</v>
      </c>
    </row>
    <row r="13">
      <c r="A13" t="inlineStr">
        <is>
          <t>MTEN - Camp Lejeune</t>
        </is>
      </c>
      <c r="B13" s="4" t="n">
        <v>178446.96</v>
      </c>
      <c r="C13" s="5" t="n">
        <v>12774856.313394</v>
      </c>
      <c r="D13" s="5" t="n">
        <v>2554971.262678801</v>
      </c>
      <c r="E13" s="5" t="n">
        <v>2554971.262678801</v>
      </c>
      <c r="F13" s="5" t="n">
        <v>2554971.262678801</v>
      </c>
      <c r="G13" s="5" t="n">
        <v>2554971.262678801</v>
      </c>
    </row>
    <row r="14">
      <c r="A14" t="inlineStr">
        <is>
          <t>MTEN - Camp Pendleton</t>
        </is>
      </c>
      <c r="B14" s="4" t="n">
        <v>178446.96</v>
      </c>
      <c r="C14" s="5" t="n">
        <v>12774856.313394</v>
      </c>
      <c r="D14" s="5" t="n">
        <v>2554971.262678801</v>
      </c>
      <c r="E14" s="5" t="n">
        <v>2554971.262678801</v>
      </c>
      <c r="F14" s="5" t="n">
        <v>2554971.262678801</v>
      </c>
      <c r="G14" s="5" t="n">
        <v>2554971.262678801</v>
      </c>
    </row>
    <row r="15">
      <c r="A15" t="inlineStr">
        <is>
          <t>MTEN - MCB Kaneohe Bay</t>
        </is>
      </c>
      <c r="B15" s="4" t="n">
        <v>178446.96</v>
      </c>
      <c r="C15" s="5" t="n">
        <v>12774856.313394</v>
      </c>
      <c r="D15" s="5" t="n">
        <v>2554971.262678801</v>
      </c>
      <c r="E15" s="5" t="n">
        <v>2554971.262678801</v>
      </c>
      <c r="F15" s="5" t="n">
        <v>2554971.262678801</v>
      </c>
      <c r="G15" s="5" t="n">
        <v>2554971.262678801</v>
      </c>
    </row>
    <row r="16">
      <c r="A16" t="inlineStr">
        <is>
          <t>MTEN - MCB Quantico</t>
        </is>
      </c>
      <c r="B16" s="4" t="n">
        <v>178446.96</v>
      </c>
      <c r="C16" s="5" t="n">
        <v>12774856.313394</v>
      </c>
      <c r="D16" s="5" t="n">
        <v>2554971.262678801</v>
      </c>
      <c r="E16" s="5" t="n">
        <v>2554971.262678801</v>
      </c>
      <c r="F16" s="5" t="n">
        <v>2554971.262678801</v>
      </c>
      <c r="G16" s="5" t="n">
        <v>2554971.262678801</v>
      </c>
    </row>
    <row r="17">
      <c r="A17" t="inlineStr">
        <is>
          <t>MTEN - Okinawa</t>
        </is>
      </c>
      <c r="B17" s="4" t="n">
        <v>178446.96</v>
      </c>
      <c r="C17" s="5" t="n">
        <v>12774856.313394</v>
      </c>
      <c r="D17" s="5" t="n">
        <v>2554971.262678801</v>
      </c>
      <c r="E17" s="5" t="n">
        <v>2554971.262678801</v>
      </c>
      <c r="F17" s="5" t="n">
        <v>2554971.262678801</v>
      </c>
      <c r="G17" s="5" t="n">
        <v>2554971.262678801</v>
      </c>
    </row>
    <row r="18">
      <c r="A18" t="inlineStr">
        <is>
          <t>Miramar</t>
        </is>
      </c>
      <c r="B18" s="4" t="n">
        <v>280834.56</v>
      </c>
      <c r="C18" s="5" t="n">
        <v>13657077.38349411</v>
      </c>
      <c r="D18" s="5" t="n">
        <v>2731415.476698822</v>
      </c>
      <c r="E18" s="5" t="n">
        <v>2731415.476698822</v>
      </c>
      <c r="F18" s="5" t="n">
        <v>2731415.476698822</v>
      </c>
      <c r="G18" s="5" t="n">
        <v>2731415.476698822</v>
      </c>
    </row>
    <row r="19">
      <c r="A19" t="inlineStr">
        <is>
          <t>NCAMS</t>
        </is>
      </c>
      <c r="B19" s="4" t="n">
        <v>263282.4</v>
      </c>
      <c r="C19" s="5" t="n">
        <v>14995861.82386388</v>
      </c>
      <c r="D19" s="5" t="n">
        <v>2999172.364772776</v>
      </c>
      <c r="E19" s="5" t="n">
        <v>2999172.364772776</v>
      </c>
      <c r="F19" s="5" t="n">
        <v>2999172.364772776</v>
      </c>
      <c r="G19" s="5" t="n">
        <v>2999172.364772776</v>
      </c>
    </row>
    <row r="20">
      <c r="A20" t="inlineStr">
        <is>
          <t>Navy Dare</t>
        </is>
      </c>
      <c r="B20" s="4" t="n">
        <v>280834.56</v>
      </c>
      <c r="C20" s="5" t="n">
        <v>14871624.10388928</v>
      </c>
      <c r="D20" s="5" t="n">
        <v>2974324.820777857</v>
      </c>
      <c r="E20" s="5" t="n">
        <v>2974324.820777857</v>
      </c>
      <c r="F20" s="5" t="n">
        <v>2974324.820777857</v>
      </c>
      <c r="G20" s="5" t="n">
        <v>2974324.820777857</v>
      </c>
    </row>
    <row r="21">
      <c r="A21" t="inlineStr">
        <is>
          <t>Oceana</t>
        </is>
      </c>
      <c r="B21" s="4" t="n">
        <v>631533.6000000001</v>
      </c>
      <c r="C21" s="5" t="n">
        <v>28823325.89791235</v>
      </c>
      <c r="D21" s="5" t="n">
        <v>5764665.179582468</v>
      </c>
      <c r="E21" s="5" t="n">
        <v>5764665.179582468</v>
      </c>
      <c r="F21" s="5" t="n">
        <v>5764665.179582468</v>
      </c>
      <c r="G21" s="5" t="n">
        <v>5764665.179582468</v>
      </c>
    </row>
    <row r="22">
      <c r="A22" t="inlineStr">
        <is>
          <t>PNW</t>
        </is>
      </c>
      <c r="B22" s="4" t="n">
        <v>772295.04</v>
      </c>
      <c r="C22" s="5" t="n">
        <v>35111763.05049253</v>
      </c>
      <c r="D22" s="5" t="n">
        <v>7022352.610098506</v>
      </c>
      <c r="E22" s="5" t="n">
        <v>7022352.610098506</v>
      </c>
      <c r="F22" s="5" t="n">
        <v>7022352.610098506</v>
      </c>
      <c r="G22" s="5" t="n">
        <v>7022352.610098506</v>
      </c>
    </row>
    <row r="23">
      <c r="A23" t="inlineStr">
        <is>
          <t>Pinecastle</t>
        </is>
      </c>
      <c r="B23" s="4" t="n">
        <v>315938.88</v>
      </c>
      <c r="C23" s="5" t="n">
        <v>17045784.20344464</v>
      </c>
      <c r="D23" s="5" t="n">
        <v>3409156.840688929</v>
      </c>
      <c r="E23" s="5" t="n">
        <v>3409156.840688929</v>
      </c>
      <c r="F23" s="5" t="n">
        <v>3409156.840688929</v>
      </c>
      <c r="G23" s="5" t="n">
        <v>3409156.840688929</v>
      </c>
    </row>
    <row r="24">
      <c r="A24" t="inlineStr">
        <is>
          <t>SCTTR</t>
        </is>
      </c>
      <c r="B24" s="4" t="n">
        <v>2439750.32</v>
      </c>
      <c r="C24" s="5" t="n">
        <v>112315511.6436639</v>
      </c>
      <c r="D24" s="5" t="n">
        <v>22463103.17643498</v>
      </c>
      <c r="E24" s="5" t="n">
        <v>22463103.17643498</v>
      </c>
      <c r="F24" s="5" t="n">
        <v>22463103.17643498</v>
      </c>
      <c r="G24" s="5" t="n">
        <v>22463103.17643498</v>
      </c>
    </row>
    <row r="25">
      <c r="A25" t="inlineStr">
        <is>
          <t>TTGP</t>
        </is>
      </c>
      <c r="B25" s="4" t="n">
        <v>895160.16</v>
      </c>
      <c r="C25" s="5" t="n">
        <v>63963974.64038402</v>
      </c>
      <c r="D25" s="5" t="n">
        <v>12792794.9280768</v>
      </c>
      <c r="E25" s="5" t="n">
        <v>12792794.9280768</v>
      </c>
      <c r="F25" s="5" t="n">
        <v>12792794.9280768</v>
      </c>
      <c r="G25" s="5" t="n">
        <v>12792794.9280768</v>
      </c>
    </row>
    <row r="26">
      <c r="A26" t="inlineStr">
        <is>
          <t>Yuma</t>
        </is>
      </c>
      <c r="B26" s="4" t="n">
        <v>1175994.72</v>
      </c>
      <c r="C26" s="5" t="n">
        <v>44547064.34816687</v>
      </c>
      <c r="D26" s="5" t="n">
        <v>8909412.869633373</v>
      </c>
      <c r="E26" s="5" t="n">
        <v>8909412.869633373</v>
      </c>
      <c r="F26" s="5" t="n">
        <v>8909412.869633373</v>
      </c>
      <c r="G26" s="5" t="n">
        <v>8909412.869633373</v>
      </c>
    </row>
    <row r="27">
      <c r="A27" s="9" t="inlineStr">
        <is>
          <t>GRAND TOTAL</t>
        </is>
      </c>
      <c r="B27" s="14">
        <f>SUM(B4:B26)</f>
        <v/>
      </c>
      <c r="C27" s="15">
        <f>SUM(C4:C26)</f>
        <v/>
      </c>
      <c r="D27" s="15">
        <f>SUM(D4:D26)</f>
        <v/>
      </c>
      <c r="E27" s="15">
        <f>SUM(E4:E26)</f>
        <v/>
      </c>
      <c r="F27" s="15">
        <f>SUM(F4:F26)</f>
        <v/>
      </c>
      <c r="G27" s="15">
        <f>SUM(G4:G26)</f>
        <v/>
      </c>
      <c r="H27" s="15">
        <f>SUM(H4:H26)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COST SUMMARY BY LABOR TYPE</t>
        </is>
      </c>
    </row>
    <row r="3">
      <c r="A3" s="16" t="inlineStr">
        <is>
          <t>Labor Type</t>
        </is>
      </c>
      <c r="B3" s="16" t="inlineStr">
        <is>
          <t>Total Hours</t>
        </is>
      </c>
      <c r="C3" s="16" t="inlineStr">
        <is>
          <t>Base Period</t>
        </is>
      </c>
      <c r="D3" s="16" t="inlineStr">
        <is>
          <t>OY1</t>
        </is>
      </c>
      <c r="E3" s="16" t="inlineStr">
        <is>
          <t>OY2</t>
        </is>
      </c>
      <c r="F3" s="16" t="inlineStr">
        <is>
          <t>OY3</t>
        </is>
      </c>
      <c r="G3" s="16" t="inlineStr">
        <is>
          <t>OY4</t>
        </is>
      </c>
      <c r="H3" s="16" t="inlineStr">
        <is>
          <t>Total Cost</t>
        </is>
      </c>
    </row>
    <row r="4">
      <c r="A4" t="inlineStr">
        <is>
          <t>Non-SCA</t>
        </is>
      </c>
      <c r="B4" s="4" t="n">
        <v>7860614.399999999</v>
      </c>
      <c r="C4" s="5" t="n">
        <v>554264000.0866082</v>
      </c>
      <c r="D4" s="5" t="n">
        <v>110852800.0173216</v>
      </c>
      <c r="E4" s="5" t="n">
        <v>110852800.0173216</v>
      </c>
      <c r="F4" s="5" t="n">
        <v>110852800.0173216</v>
      </c>
      <c r="G4" s="5" t="n">
        <v>110852800.0173216</v>
      </c>
    </row>
    <row r="5">
      <c r="A5" t="inlineStr">
        <is>
          <t>SCA</t>
        </is>
      </c>
      <c r="B5" s="4" t="n">
        <v>9199741.039999999</v>
      </c>
      <c r="C5" s="5" t="n">
        <v>326691854.9975783</v>
      </c>
      <c r="D5" s="5" t="n">
        <v>65338371.84721788</v>
      </c>
      <c r="E5" s="5" t="n">
        <v>65338371.84721788</v>
      </c>
      <c r="F5" s="5" t="n">
        <v>65338371.84721788</v>
      </c>
      <c r="G5" s="5" t="n">
        <v>65338371.84721788</v>
      </c>
    </row>
    <row r="6">
      <c r="A6" s="9" t="inlineStr">
        <is>
          <t>GRAND TOTAL</t>
        </is>
      </c>
      <c r="B6" s="14">
        <f>SUM(B4:B5)</f>
        <v/>
      </c>
      <c r="C6" s="15">
        <f>SUM(C4:C5)</f>
        <v/>
      </c>
      <c r="D6" s="15">
        <f>SUM(D4:D5)</f>
        <v/>
      </c>
      <c r="E6" s="15">
        <f>SUM(E4:E5)</f>
        <v/>
      </c>
      <c r="F6" s="15">
        <f>SUM(F4:F5)</f>
        <v/>
      </c>
      <c r="G6" s="15">
        <f>SUM(G4:G5)</f>
        <v/>
      </c>
      <c r="H6" s="15">
        <f>SUM(H4:H5)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2025-11-26T16:55:26Z</dcterms:created>
  <dcterms:modified xsi:type="dcterms:W3CDTF">2025-11-26T16:56:29Z</dcterms:modified>
</cp:coreProperties>
</file>