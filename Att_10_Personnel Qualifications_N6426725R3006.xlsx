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defaultThemeVersion="124226"/>
  <xr:revisionPtr revIDLastSave="0" documentId="8_{2FFCEE18-6D08-43F8-BC63-E0E0DA504533}" xr6:coauthVersionLast="47" xr6:coauthVersionMax="47" xr10:uidLastSave="{00000000-0000-0000-0000-000000000000}"/>
  <bookViews>
    <workbookView xWindow="28680" yWindow="-120" windowWidth="29040" windowHeight="15720" xr2:uid="{00000000-000D-0000-FFFF-FFFF00000000}"/>
  </bookViews>
  <sheets>
    <sheet name="Key and Non Personnel Desc" sheetId="1" r:id="rId1"/>
  </sheets>
  <definedNames>
    <definedName name="_xlnm._FilterDatabase" localSheetId="0" hidden="1">'Key and Non Personnel Desc'!$A$1:$O$54</definedName>
    <definedName name="OLE_LINK1" localSheetId="0">'Key and Non Personnel Desc'!#REF!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4" i="1" l="1"/>
  <c r="D54" i="1" l="1"/>
  <c r="E54" i="1" l="1"/>
</calcChain>
</file>

<file path=xl/sharedStrings.xml><?xml version="1.0" encoding="utf-8"?>
<sst xmlns="http://schemas.openxmlformats.org/spreadsheetml/2006/main" count="540" uniqueCount="120">
  <si>
    <t>Labor Category</t>
  </si>
  <si>
    <t>Key Personnel
Yes or No</t>
  </si>
  <si>
    <t>Number of Straight  Hours (BY-OY4)</t>
  </si>
  <si>
    <t>Number of Overtime  Hours (BY-OY4)</t>
  </si>
  <si>
    <t>Indicates Specialized Position within Labor Category</t>
  </si>
  <si>
    <t>Minimum Degree Requirement</t>
  </si>
  <si>
    <t>Preferred Degree</t>
  </si>
  <si>
    <t>Certifications Minimum Requirement</t>
  </si>
  <si>
    <t>Preferred Certifications</t>
  </si>
  <si>
    <t>Minimum Years Experience Required</t>
  </si>
  <si>
    <t>Preferred Years Experience</t>
  </si>
  <si>
    <t>Required Specialized Experience</t>
  </si>
  <si>
    <t>Preferred Specialized Experience</t>
  </si>
  <si>
    <t>Security Requirements</t>
  </si>
  <si>
    <t>Tasking Description</t>
  </si>
  <si>
    <t>Automotive Worker</t>
  </si>
  <si>
    <t>No</t>
  </si>
  <si>
    <t>High School Diploma or GED, completion of an automotive repair program.</t>
  </si>
  <si>
    <t>N/A</t>
  </si>
  <si>
    <t>ASE certifications or equiv</t>
  </si>
  <si>
    <t>Computer Operator III</t>
  </si>
  <si>
    <t>High school diploma or GED</t>
  </si>
  <si>
    <t>Associate's Degree or equivalent military training</t>
  </si>
  <si>
    <t>Computer Operator IV</t>
  </si>
  <si>
    <t>Computer Operator V</t>
  </si>
  <si>
    <t>Security + or equiv</t>
  </si>
  <si>
    <t>Computer Systems Analyst I</t>
  </si>
  <si>
    <t>Computer Systems Analyst II</t>
  </si>
  <si>
    <t>Computer Systems Analyst III</t>
  </si>
  <si>
    <t>Cybersecurity Analyst III</t>
  </si>
  <si>
    <t>Cybersecurity Analyst IV</t>
  </si>
  <si>
    <t>Electrician</t>
  </si>
  <si>
    <t>Journeyman</t>
  </si>
  <si>
    <t>Electronics Technician I</t>
  </si>
  <si>
    <t>Associate's Degree in Electronics Technology or equivalent military training</t>
  </si>
  <si>
    <t>Network + or equiv</t>
  </si>
  <si>
    <t>Electronics Technician II</t>
  </si>
  <si>
    <t>Electronics Technician III</t>
  </si>
  <si>
    <t>Engineering Technician III</t>
  </si>
  <si>
    <t>Engineering Technician IV</t>
  </si>
  <si>
    <t>Engineering Technician V</t>
  </si>
  <si>
    <t>General Maintenance Worker</t>
  </si>
  <si>
    <t>Generator Technician II</t>
  </si>
  <si>
    <t>Generator Technician III</t>
  </si>
  <si>
    <t>Heating, Ventilation and Air Conditioning</t>
  </si>
  <si>
    <t>HVAC certifications as required</t>
  </si>
  <si>
    <t>Heavy Equipment Mechanic/Operator</t>
  </si>
  <si>
    <t>CDL</t>
  </si>
  <si>
    <t>Logistician Analyst IV</t>
  </si>
  <si>
    <t xml:space="preserve">Bachelor's Degree </t>
  </si>
  <si>
    <t>Machinist</t>
  </si>
  <si>
    <t>Associate's Degree or vocational school</t>
  </si>
  <si>
    <t>NIMS cert or equiv</t>
  </si>
  <si>
    <t>Maintenance Coordinator</t>
  </si>
  <si>
    <t>METROLOGY TECHNICIAN I</t>
  </si>
  <si>
    <t>Mission Coordinator</t>
  </si>
  <si>
    <t>Mission Coordinator Senior</t>
  </si>
  <si>
    <t>Yes</t>
  </si>
  <si>
    <t>Motor Vehicle Mechanic</t>
  </si>
  <si>
    <t>Network Administrator III</t>
  </si>
  <si>
    <t>Network Administrator IV</t>
  </si>
  <si>
    <t>Network Administrator V</t>
  </si>
  <si>
    <t>Network Analyst IV</t>
  </si>
  <si>
    <t>Network Engineer IV</t>
  </si>
  <si>
    <t>Operations Analyst</t>
  </si>
  <si>
    <t>Program Manager</t>
  </si>
  <si>
    <t>Program Manager (Task Order Management)</t>
  </si>
  <si>
    <t>Bachelor degree in Science, Technology, Engineering or Math (STEM) or related field</t>
  </si>
  <si>
    <t>Advanced degree in STEM/related field or management/related field</t>
  </si>
  <si>
    <t>Seven (7) years of managing large-scale DoD efforts</t>
  </si>
  <si>
    <t>Ten (10) years of managing large-scale DoD efforts valued at $500M plus</t>
  </si>
  <si>
    <t>Experience managing dispersed workforce and diverse functions in support of large-scale DoD efforts</t>
  </si>
  <si>
    <t>Directs, coordinates and manages overall Task Order functions.  Delvelops and implements strategies, policies and procedures in the execution of this effort.  Evaluates overall Task Order management to improve efficiency and effectiveness.  Ensures effective coordination across differenet functional groups and areas.</t>
  </si>
  <si>
    <t>Quality Assurance/Safety Evaluator</t>
  </si>
  <si>
    <t>Quality Control</t>
  </si>
  <si>
    <t>Quality Control Inspector</t>
  </si>
  <si>
    <t>Security Coordinator</t>
  </si>
  <si>
    <t>Site Lead</t>
  </si>
  <si>
    <t>Site Manager</t>
  </si>
  <si>
    <t>Supply Technician</t>
  </si>
  <si>
    <t xml:space="preserve">Surveyor </t>
  </si>
  <si>
    <t>Tactical Data Link Analyst</t>
  </si>
  <si>
    <t>Technical Coordinator</t>
  </si>
  <si>
    <t>Technical Lead</t>
  </si>
  <si>
    <t>Technical Support Specialist</t>
  </si>
  <si>
    <t>UXO Technician II</t>
  </si>
  <si>
    <t>UXO Technician III</t>
  </si>
  <si>
    <t>Totals</t>
  </si>
  <si>
    <t>Associate's Degree in IT/CS or equivalent military training*</t>
  </si>
  <si>
    <t>Associate's Degree in Electronics Technology or equivalent military training*</t>
  </si>
  <si>
    <t>Associate's Degree or equivalent military training*</t>
  </si>
  <si>
    <t>Bachelor's Degree or equivalent military training*</t>
  </si>
  <si>
    <t>*Equivalent military training and experience will be considered in lieu of formal education and/or civilian professional training for the position. Candidates with prior military service, who have received training and performed duties similar to those required for this position, may be considered as meeting the qualifications for the role. The evaluation of equivalency will be based on the level of responsibility, scope of training, and practical experience acquired during military service, as documented in the individual’s service records or other relevant certifications</t>
  </si>
  <si>
    <t>Bachelor's Degree or equivalent military training</t>
  </si>
  <si>
    <t>NA</t>
  </si>
  <si>
    <t>HVAC certifications</t>
  </si>
  <si>
    <t>Bachelor's degree or equivalent military training</t>
  </si>
  <si>
    <t>PMP</t>
  </si>
  <si>
    <t>ISO certified</t>
  </si>
  <si>
    <t>EOD certifications</t>
  </si>
  <si>
    <t>Must be eligible to possess a final U.S. Government security clearance</t>
  </si>
  <si>
    <t>SOW 5.4.2.10</t>
  </si>
  <si>
    <t>SOW 5.2</t>
  </si>
  <si>
    <t>SOW 5.1.1, 5.1.3.5, 5.1.5.9</t>
  </si>
  <si>
    <t>SOW 5.4.2.11</t>
  </si>
  <si>
    <t>SOW 5.4.2.19.1</t>
  </si>
  <si>
    <t xml:space="preserve">SOW 5.4 </t>
  </si>
  <si>
    <t>SOW 5.1.6.6</t>
  </si>
  <si>
    <t>SOW 5.3</t>
  </si>
  <si>
    <t>SOW 5.4.2.18</t>
  </si>
  <si>
    <t>SOW 5.4.2.9</t>
  </si>
  <si>
    <t>SOW 5.4</t>
  </si>
  <si>
    <t>SOW 5.2.2.5, 5.2.2.2.1</t>
  </si>
  <si>
    <t>SOW 5.1.1, 5.1.3</t>
  </si>
  <si>
    <t>SOW 5.1.1, 5.1.5.1, 5.1.5.9</t>
  </si>
  <si>
    <t>Directs, coordinates and manages range Task Order functions.  Delvelops and implements range strategies, policies and procedures in the execution of this effort.  Executes range Task Order management to improve efficiency and effectiveness.  Ensures effective coordination across differenet functional groups and areas.</t>
  </si>
  <si>
    <t>Manages range Task Order functions.  Executes range Task Order management to improve efficiency and effectiveness.  Ensures effective coordination across differenet functional groups and areas.</t>
  </si>
  <si>
    <t>Range Control Facilitator/Officer</t>
  </si>
  <si>
    <t>Range Control Facilitator/Officer, Senior</t>
  </si>
  <si>
    <t>Engineering Technician 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</si>
</sst>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_);_(* \(#,##0.0\);_(* &quot;-&quot;??_);_(@_)"/>
    <numFmt numFmtId="165" formatCode="_(* #,##0.0_);_(* \(#,##0.0\);_(* &quot;-&quot;?_);_(@_)"/>
  </numFmts>
  <fonts count="7" x14ac:knownFonts="1">
    <font>
      <sz val="11"/>
      <color theme="1"/>
      <name val="Calibri"/>
      <family val="2"/>
      <scheme val="minor"/>
    </font>
    <font>
      <b/>
      <sz val="12"/>
      <color theme="0"/>
      <name val="Times New Roman"/>
      <family val="1"/>
    </font>
    <font>
      <sz val="11"/>
      <color theme="1"/>
      <name val="Times New Roman"/>
      <family val="1"/>
    </font>
    <font>
      <sz val="11"/>
      <name val="Times New Roman"/>
      <family val="1"/>
    </font>
    <font>
      <b/>
      <sz val="11"/>
      <color theme="1"/>
      <name val="Times New Roman"/>
      <family val="1"/>
    </font>
    <font>
      <sz val="11"/>
      <color theme="1"/>
      <name val="Calibri"/>
      <family val="2"/>
      <scheme val="minor"/>
    </font>
    <font>
      <sz val="12"/>
      <color theme="1"/>
      <name val="Aptos"/>
      <family val="2"/>
    </font>
  </fonts>
  <fills count="6">
    <fill>
      <patternFill patternType="none"/>
    </fill>
    <fill>
      <patternFill patternType="gray125"/>
    </fill>
    <fill>
      <patternFill patternType="solid">
        <fgColor rgb="FF3333C8"/>
        <bgColor indexed="64"/>
      </patternFill>
    </fill>
    <fill>
      <patternFill patternType="solid">
        <fgColor theme="9" tint="0.39997558519241921"/>
        <bgColor indexed="64"/>
      </patternFill>
    </fill>
    <fill>
      <patternFill patternType="solid">
        <fgColor rgb="FFFFFF00"/>
        <bgColor indexed="64"/>
      </patternFill>
    </fill>
    <fill>
      <patternFill patternType="solid">
        <fgColor theme="6"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5" fillId="0" borderId="0" applyFont="0" applyFill="0" applyBorder="0" applyAlignment="0" applyProtection="0"/>
  </cellStyleXfs>
  <cellXfs count="15">
    <xf numFmtId="0" fontId="0" fillId="0" borderId="0" xfId="0"/>
    <xf numFmtId="0" fontId="2" fillId="0" borderId="0" xfId="0" applyFont="1"/>
    <xf numFmtId="0" fontId="2" fillId="3" borderId="1" xfId="0" applyFont="1" applyFill="1" applyBorder="1" applyAlignment="1">
      <alignment horizontal="left" vertical="center" wrapText="1" indent="1"/>
    </xf>
    <xf numFmtId="0" fontId="3" fillId="3" borderId="1" xfId="0" applyFont="1" applyFill="1" applyBorder="1" applyAlignment="1">
      <alignment horizontal="left" vertical="center" wrapText="1" indent="1"/>
    </xf>
    <xf numFmtId="0" fontId="1" fillId="2" borderId="1" xfId="0" applyFont="1" applyFill="1" applyBorder="1" applyAlignment="1">
      <alignment horizontal="left" vertical="center" wrapText="1"/>
    </xf>
    <xf numFmtId="0" fontId="4" fillId="0" borderId="0" xfId="0" applyFont="1" applyAlignment="1">
      <alignment vertical="center"/>
    </xf>
    <xf numFmtId="0" fontId="2" fillId="3" borderId="1" xfId="0" applyFont="1" applyFill="1" applyBorder="1" applyAlignment="1">
      <alignment horizontal="center" vertical="center" wrapText="1"/>
    </xf>
    <xf numFmtId="0" fontId="2" fillId="3" borderId="2" xfId="0" applyFont="1" applyFill="1" applyBorder="1" applyAlignment="1">
      <alignment horizontal="left" vertical="center" wrapText="1" indent="1"/>
    </xf>
    <xf numFmtId="0" fontId="0" fillId="5" borderId="1" xfId="0" applyFill="1" applyBorder="1" applyAlignment="1">
      <alignment horizontal="left"/>
    </xf>
    <xf numFmtId="164" fontId="2" fillId="0" borderId="0" xfId="0" applyNumberFormat="1" applyFont="1"/>
    <xf numFmtId="164" fontId="2" fillId="3" borderId="1" xfId="1" applyNumberFormat="1" applyFont="1" applyFill="1" applyBorder="1" applyAlignment="1">
      <alignment horizontal="left" vertical="center" wrapText="1" indent="1"/>
    </xf>
    <xf numFmtId="0" fontId="2" fillId="0" borderId="0" xfId="0" applyFont="1" applyAlignment="1">
      <alignment horizontal="right"/>
    </xf>
    <xf numFmtId="0" fontId="2" fillId="4" borderId="2" xfId="0" applyFont="1" applyFill="1" applyBorder="1" applyAlignment="1">
      <alignment horizontal="left" vertical="center" wrapText="1" indent="1"/>
    </xf>
    <xf numFmtId="0" fontId="6" fillId="0" borderId="0" xfId="0" applyFont="1" applyAlignment="1">
      <alignment horizontal="left" wrapText="1"/>
    </xf>
    <xf numFmtId="165" fontId="2" fillId="0" borderId="0" xfId="0" applyNumberFormat="1" applyFont="1"/>
  </cellXfs>
  <cellStyles count="2">
    <cellStyle name="Comma" xfId="1" builtinId="3"/>
    <cellStyle name="Normal" xfId="0" builtinId="0"/>
  </cellStyles>
  <dxfs count="0"/>
  <tableStyles count="0" defaultTableStyle="TableStyleMedium2" defaultPivotStyle="PivotStyleMedium9"/>
  <colors>
    <mruColors>
      <color rgb="FF3333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6"/>
  <sheetViews>
    <sheetView tabSelected="1" zoomScaleNormal="100" workbookViewId="0">
      <pane xSplit="1" ySplit="1" topLeftCell="B2" activePane="bottomRight" state="frozen"/>
      <selection pane="topRight" activeCell="B1" sqref="B1"/>
      <selection pane="bottomLeft" activeCell="A2" sqref="A2"/>
      <selection pane="bottomRight"/>
    </sheetView>
  </sheetViews>
  <sheetFormatPr defaultColWidth="8.85546875" defaultRowHeight="15" x14ac:dyDescent="0.25"/>
  <cols>
    <col min="1" max="1" width="49.28515625" style="1" bestFit="1" customWidth="1"/>
    <col min="2" max="2" width="17.5703125" style="1" customWidth="1"/>
    <col min="3" max="3" width="18.140625" style="1" bestFit="1" customWidth="1"/>
    <col min="4" max="4" width="21.5703125" style="1" customWidth="1"/>
    <col min="5" max="5" width="47" style="1" customWidth="1"/>
    <col min="6" max="6" width="43.85546875" style="1" customWidth="1"/>
    <col min="7" max="7" width="35" style="1" customWidth="1"/>
    <col min="8" max="8" width="19.28515625" style="1" customWidth="1"/>
    <col min="9" max="9" width="25.5703125" style="1" customWidth="1"/>
    <col min="10" max="10" width="34.28515625" style="1" customWidth="1"/>
    <col min="11" max="11" width="24.42578125" style="1" customWidth="1"/>
    <col min="12" max="12" width="40.5703125" style="1" customWidth="1"/>
    <col min="13" max="13" width="20.7109375" style="1" customWidth="1"/>
    <col min="14" max="14" width="15.42578125" style="1" customWidth="1"/>
    <col min="15" max="15" width="31" style="1" customWidth="1"/>
    <col min="16" max="16384" width="8.85546875" style="1"/>
  </cols>
  <sheetData>
    <row r="1" spans="1:15" s="5" customFormat="1" ht="63"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row>
    <row r="2" spans="1:15" ht="105" x14ac:dyDescent="0.25">
      <c r="A2" s="8" t="s">
        <v>15</v>
      </c>
      <c r="B2" s="7" t="s">
        <v>16</v>
      </c>
      <c r="C2" s="10">
        <v>9560</v>
      </c>
      <c r="D2" s="10">
        <v>191.20000000000002</v>
      </c>
      <c r="E2" s="6"/>
      <c r="F2" s="2" t="s">
        <v>17</v>
      </c>
      <c r="G2" s="2" t="s">
        <v>18</v>
      </c>
      <c r="H2" s="2" t="s">
        <v>18</v>
      </c>
      <c r="I2" s="2" t="s">
        <v>19</v>
      </c>
      <c r="J2" s="2">
        <v>3</v>
      </c>
      <c r="K2" s="2">
        <v>5</v>
      </c>
      <c r="L2" s="2" t="s">
        <v>18</v>
      </c>
      <c r="M2" s="2" t="s">
        <v>18</v>
      </c>
      <c r="N2" s="2" t="s">
        <v>100</v>
      </c>
      <c r="O2" s="3" t="s">
        <v>101</v>
      </c>
    </row>
    <row r="3" spans="1:15" ht="105" x14ac:dyDescent="0.25">
      <c r="A3" s="8" t="s">
        <v>20</v>
      </c>
      <c r="B3" s="7" t="s">
        <v>16</v>
      </c>
      <c r="C3" s="10">
        <v>124280</v>
      </c>
      <c r="D3" s="10">
        <v>2485.6000000000004</v>
      </c>
      <c r="E3" s="6"/>
      <c r="F3" s="2" t="s">
        <v>21</v>
      </c>
      <c r="G3" s="2" t="s">
        <v>90</v>
      </c>
      <c r="H3" s="2" t="s">
        <v>18</v>
      </c>
      <c r="I3" s="2" t="s">
        <v>18</v>
      </c>
      <c r="J3" s="2">
        <v>0</v>
      </c>
      <c r="K3" s="2">
        <v>1</v>
      </c>
      <c r="L3" s="2" t="s">
        <v>18</v>
      </c>
      <c r="M3" s="2" t="s">
        <v>18</v>
      </c>
      <c r="N3" s="2" t="s">
        <v>100</v>
      </c>
      <c r="O3" s="3" t="s">
        <v>102</v>
      </c>
    </row>
    <row r="4" spans="1:15" ht="105" x14ac:dyDescent="0.25">
      <c r="A4" s="8" t="s">
        <v>23</v>
      </c>
      <c r="B4" s="7" t="s">
        <v>16</v>
      </c>
      <c r="C4" s="10">
        <v>133840</v>
      </c>
      <c r="D4" s="10">
        <v>2676.8</v>
      </c>
      <c r="E4" s="6"/>
      <c r="F4" s="2" t="s">
        <v>21</v>
      </c>
      <c r="G4" s="2" t="s">
        <v>90</v>
      </c>
      <c r="H4" s="2" t="s">
        <v>18</v>
      </c>
      <c r="I4" s="2" t="s">
        <v>18</v>
      </c>
      <c r="J4" s="2">
        <v>2</v>
      </c>
      <c r="K4" s="2">
        <v>3</v>
      </c>
      <c r="L4" s="2" t="s">
        <v>18</v>
      </c>
      <c r="M4" s="2" t="s">
        <v>18</v>
      </c>
      <c r="N4" s="2" t="s">
        <v>100</v>
      </c>
      <c r="O4" s="3" t="s">
        <v>102</v>
      </c>
    </row>
    <row r="5" spans="1:15" ht="105" x14ac:dyDescent="0.25">
      <c r="A5" s="8" t="s">
        <v>24</v>
      </c>
      <c r="B5" s="7" t="s">
        <v>16</v>
      </c>
      <c r="C5" s="10">
        <v>114720</v>
      </c>
      <c r="D5" s="10">
        <v>2294.4</v>
      </c>
      <c r="E5" s="6"/>
      <c r="F5" s="2" t="s">
        <v>21</v>
      </c>
      <c r="G5" s="2" t="s">
        <v>90</v>
      </c>
      <c r="H5" s="2" t="s">
        <v>18</v>
      </c>
      <c r="I5" s="2" t="s">
        <v>18</v>
      </c>
      <c r="J5" s="2">
        <v>3</v>
      </c>
      <c r="K5" s="2">
        <v>4</v>
      </c>
      <c r="L5" s="2" t="s">
        <v>18</v>
      </c>
      <c r="M5" s="2" t="s">
        <v>18</v>
      </c>
      <c r="N5" s="2" t="s">
        <v>100</v>
      </c>
      <c r="O5" s="3" t="s">
        <v>102</v>
      </c>
    </row>
    <row r="6" spans="1:15" ht="105" x14ac:dyDescent="0.25">
      <c r="A6" s="8" t="s">
        <v>26</v>
      </c>
      <c r="B6" s="7" t="s">
        <v>16</v>
      </c>
      <c r="C6" s="10">
        <v>9560</v>
      </c>
      <c r="D6" s="10">
        <v>191.20000000000002</v>
      </c>
      <c r="E6" s="6"/>
      <c r="F6" s="2" t="s">
        <v>88</v>
      </c>
      <c r="G6" s="2" t="s">
        <v>18</v>
      </c>
      <c r="H6" s="2" t="s">
        <v>25</v>
      </c>
      <c r="I6" s="2" t="s">
        <v>18</v>
      </c>
      <c r="J6" s="2">
        <v>0</v>
      </c>
      <c r="K6" s="2">
        <v>1</v>
      </c>
      <c r="L6" s="2" t="s">
        <v>18</v>
      </c>
      <c r="M6" s="2" t="s">
        <v>18</v>
      </c>
      <c r="N6" s="2" t="s">
        <v>100</v>
      </c>
      <c r="O6" s="3" t="s">
        <v>102</v>
      </c>
    </row>
    <row r="7" spans="1:15" ht="105" x14ac:dyDescent="0.25">
      <c r="A7" s="8" t="s">
        <v>27</v>
      </c>
      <c r="B7" s="7" t="s">
        <v>16</v>
      </c>
      <c r="C7" s="10">
        <v>38240</v>
      </c>
      <c r="D7" s="10">
        <v>764.8</v>
      </c>
      <c r="E7" s="6"/>
      <c r="F7" s="2" t="s">
        <v>88</v>
      </c>
      <c r="G7" s="2" t="s">
        <v>18</v>
      </c>
      <c r="H7" s="2" t="s">
        <v>25</v>
      </c>
      <c r="I7" s="2" t="s">
        <v>18</v>
      </c>
      <c r="J7" s="2">
        <v>2</v>
      </c>
      <c r="K7" s="2">
        <v>4</v>
      </c>
      <c r="L7" s="2" t="s">
        <v>18</v>
      </c>
      <c r="M7" s="2" t="s">
        <v>18</v>
      </c>
      <c r="N7" s="2" t="s">
        <v>100</v>
      </c>
      <c r="O7" s="3" t="s">
        <v>102</v>
      </c>
    </row>
    <row r="8" spans="1:15" ht="105" x14ac:dyDescent="0.25">
      <c r="A8" s="8" t="s">
        <v>28</v>
      </c>
      <c r="B8" s="7" t="s">
        <v>16</v>
      </c>
      <c r="C8" s="10">
        <v>9560</v>
      </c>
      <c r="D8" s="10">
        <v>191.20000000000002</v>
      </c>
      <c r="E8" s="6"/>
      <c r="F8" s="2" t="s">
        <v>88</v>
      </c>
      <c r="G8" s="2" t="s">
        <v>18</v>
      </c>
      <c r="H8" s="2" t="s">
        <v>25</v>
      </c>
      <c r="I8" s="2" t="s">
        <v>18</v>
      </c>
      <c r="J8" s="2">
        <v>4</v>
      </c>
      <c r="K8" s="2">
        <v>6</v>
      </c>
      <c r="L8" s="2" t="s">
        <v>18</v>
      </c>
      <c r="M8" s="2" t="s">
        <v>18</v>
      </c>
      <c r="N8" s="2" t="s">
        <v>100</v>
      </c>
      <c r="O8" s="3" t="s">
        <v>102</v>
      </c>
    </row>
    <row r="9" spans="1:15" ht="105" x14ac:dyDescent="0.25">
      <c r="A9" s="8" t="s">
        <v>29</v>
      </c>
      <c r="B9" s="7" t="s">
        <v>16</v>
      </c>
      <c r="C9" s="10">
        <v>19120</v>
      </c>
      <c r="D9" s="10">
        <v>382.4</v>
      </c>
      <c r="E9" s="6"/>
      <c r="F9" s="2" t="s">
        <v>88</v>
      </c>
      <c r="G9" s="2" t="s">
        <v>18</v>
      </c>
      <c r="H9" s="2" t="s">
        <v>25</v>
      </c>
      <c r="I9" s="2" t="s">
        <v>18</v>
      </c>
      <c r="J9" s="2">
        <v>4</v>
      </c>
      <c r="K9" s="2">
        <v>6</v>
      </c>
      <c r="L9" s="2" t="s">
        <v>18</v>
      </c>
      <c r="M9" s="2" t="s">
        <v>18</v>
      </c>
      <c r="N9" s="2" t="s">
        <v>100</v>
      </c>
      <c r="O9" s="3" t="s">
        <v>103</v>
      </c>
    </row>
    <row r="10" spans="1:15" ht="105" x14ac:dyDescent="0.25">
      <c r="A10" s="8" t="s">
        <v>30</v>
      </c>
      <c r="B10" s="7" t="s">
        <v>16</v>
      </c>
      <c r="C10" s="10">
        <v>19120</v>
      </c>
      <c r="D10" s="10">
        <v>382.4</v>
      </c>
      <c r="E10" s="6"/>
      <c r="F10" s="2" t="s">
        <v>88</v>
      </c>
      <c r="G10" s="2" t="s">
        <v>18</v>
      </c>
      <c r="H10" s="2" t="s">
        <v>25</v>
      </c>
      <c r="I10" s="2" t="s">
        <v>18</v>
      </c>
      <c r="J10" s="2">
        <v>4</v>
      </c>
      <c r="K10" s="2">
        <v>6</v>
      </c>
      <c r="L10" s="2" t="s">
        <v>18</v>
      </c>
      <c r="M10" s="2" t="s">
        <v>18</v>
      </c>
      <c r="N10" s="2" t="s">
        <v>100</v>
      </c>
      <c r="O10" s="3" t="s">
        <v>103</v>
      </c>
    </row>
    <row r="11" spans="1:15" ht="105" x14ac:dyDescent="0.25">
      <c r="A11" s="8" t="s">
        <v>31</v>
      </c>
      <c r="B11" s="7" t="s">
        <v>16</v>
      </c>
      <c r="C11" s="10">
        <v>19120</v>
      </c>
      <c r="D11" s="10">
        <v>382.40000000000003</v>
      </c>
      <c r="E11" s="6"/>
      <c r="F11" s="2" t="s">
        <v>21</v>
      </c>
      <c r="G11" s="2" t="s">
        <v>22</v>
      </c>
      <c r="H11" s="2" t="s">
        <v>32</v>
      </c>
      <c r="I11" s="2" t="s">
        <v>18</v>
      </c>
      <c r="J11" s="2">
        <v>4</v>
      </c>
      <c r="K11" s="2">
        <v>5</v>
      </c>
      <c r="L11" s="2" t="s">
        <v>18</v>
      </c>
      <c r="M11" s="2" t="s">
        <v>18</v>
      </c>
      <c r="N11" s="2" t="s">
        <v>100</v>
      </c>
      <c r="O11" s="3" t="s">
        <v>108</v>
      </c>
    </row>
    <row r="12" spans="1:15" ht="105" x14ac:dyDescent="0.25">
      <c r="A12" s="8" t="s">
        <v>33</v>
      </c>
      <c r="B12" s="7" t="s">
        <v>16</v>
      </c>
      <c r="C12" s="10">
        <v>124280</v>
      </c>
      <c r="D12" s="10">
        <v>2485.6000000000004</v>
      </c>
      <c r="E12" s="6"/>
      <c r="F12" s="2" t="s">
        <v>34</v>
      </c>
      <c r="G12" s="2" t="s">
        <v>18</v>
      </c>
      <c r="H12" s="2" t="s">
        <v>35</v>
      </c>
      <c r="I12" s="2" t="s">
        <v>25</v>
      </c>
      <c r="J12" s="2">
        <v>0</v>
      </c>
      <c r="K12" s="2">
        <v>2</v>
      </c>
      <c r="L12" s="2" t="s">
        <v>18</v>
      </c>
      <c r="M12" s="2" t="s">
        <v>18</v>
      </c>
      <c r="N12" s="2" t="s">
        <v>100</v>
      </c>
      <c r="O12" s="3" t="s">
        <v>108</v>
      </c>
    </row>
    <row r="13" spans="1:15" ht="105" x14ac:dyDescent="0.25">
      <c r="A13" s="8" t="s">
        <v>36</v>
      </c>
      <c r="B13" s="7" t="s">
        <v>16</v>
      </c>
      <c r="C13" s="10">
        <v>1089840</v>
      </c>
      <c r="D13" s="10">
        <v>21796.800000000007</v>
      </c>
      <c r="E13" s="6"/>
      <c r="F13" s="2" t="s">
        <v>89</v>
      </c>
      <c r="G13" s="2" t="s">
        <v>18</v>
      </c>
      <c r="H13" s="2" t="s">
        <v>35</v>
      </c>
      <c r="I13" s="2" t="s">
        <v>25</v>
      </c>
      <c r="J13" s="2">
        <v>2</v>
      </c>
      <c r="K13" s="2">
        <v>4</v>
      </c>
      <c r="L13" s="2" t="s">
        <v>18</v>
      </c>
      <c r="M13" s="2" t="s">
        <v>18</v>
      </c>
      <c r="N13" s="2" t="s">
        <v>100</v>
      </c>
      <c r="O13" s="3" t="s">
        <v>108</v>
      </c>
    </row>
    <row r="14" spans="1:15" ht="105" x14ac:dyDescent="0.25">
      <c r="A14" s="8" t="s">
        <v>37</v>
      </c>
      <c r="B14" s="7" t="s">
        <v>16</v>
      </c>
      <c r="C14" s="10">
        <v>1223680</v>
      </c>
      <c r="D14" s="10">
        <v>24473.599999999995</v>
      </c>
      <c r="E14" s="6"/>
      <c r="F14" s="2" t="s">
        <v>89</v>
      </c>
      <c r="G14" s="2" t="s">
        <v>22</v>
      </c>
      <c r="H14" s="2" t="s">
        <v>35</v>
      </c>
      <c r="I14" s="2" t="s">
        <v>25</v>
      </c>
      <c r="J14" s="2">
        <v>4</v>
      </c>
      <c r="K14" s="2">
        <v>6</v>
      </c>
      <c r="L14" s="2" t="s">
        <v>18</v>
      </c>
      <c r="M14" s="2" t="s">
        <v>18</v>
      </c>
      <c r="N14" s="2" t="s">
        <v>100</v>
      </c>
      <c r="O14" s="3" t="s">
        <v>108</v>
      </c>
    </row>
    <row r="15" spans="1:15" ht="105" x14ac:dyDescent="0.25">
      <c r="A15" s="8" t="s">
        <v>38</v>
      </c>
      <c r="B15" s="7" t="s">
        <v>16</v>
      </c>
      <c r="C15" s="10">
        <v>172080</v>
      </c>
      <c r="D15" s="10">
        <v>3441.6</v>
      </c>
      <c r="E15" s="6"/>
      <c r="F15" s="2" t="s">
        <v>89</v>
      </c>
      <c r="G15" s="2" t="s">
        <v>22</v>
      </c>
      <c r="H15" s="2" t="s">
        <v>25</v>
      </c>
      <c r="I15" s="2" t="s">
        <v>18</v>
      </c>
      <c r="J15" s="2">
        <v>4</v>
      </c>
      <c r="K15" s="2">
        <v>6</v>
      </c>
      <c r="L15" s="2" t="s">
        <v>18</v>
      </c>
      <c r="M15" s="2" t="s">
        <v>18</v>
      </c>
      <c r="N15" s="2" t="s">
        <v>100</v>
      </c>
      <c r="O15" s="3" t="s">
        <v>108</v>
      </c>
    </row>
    <row r="16" spans="1:15" ht="105" x14ac:dyDescent="0.25">
      <c r="A16" s="8" t="s">
        <v>39</v>
      </c>
      <c r="B16" s="7" t="s">
        <v>16</v>
      </c>
      <c r="C16" s="10">
        <v>621400</v>
      </c>
      <c r="D16" s="10">
        <v>12428</v>
      </c>
      <c r="E16" s="6"/>
      <c r="F16" s="2" t="s">
        <v>89</v>
      </c>
      <c r="G16" s="2" t="s">
        <v>22</v>
      </c>
      <c r="H16" s="2" t="s">
        <v>25</v>
      </c>
      <c r="I16" s="2" t="s">
        <v>18</v>
      </c>
      <c r="J16" s="2">
        <v>6</v>
      </c>
      <c r="K16" s="2">
        <v>8</v>
      </c>
      <c r="L16" s="2" t="s">
        <v>18</v>
      </c>
      <c r="M16" s="2" t="s">
        <v>18</v>
      </c>
      <c r="N16" s="2" t="s">
        <v>100</v>
      </c>
      <c r="O16" s="3" t="s">
        <v>108</v>
      </c>
    </row>
    <row r="17" spans="1:15" ht="105" x14ac:dyDescent="0.25">
      <c r="A17" s="8" t="s">
        <v>40</v>
      </c>
      <c r="B17" s="7" t="s">
        <v>16</v>
      </c>
      <c r="C17" s="10">
        <v>669200</v>
      </c>
      <c r="D17" s="10">
        <v>13383.999999999998</v>
      </c>
      <c r="E17" s="6"/>
      <c r="F17" s="2" t="s">
        <v>89</v>
      </c>
      <c r="G17" s="2" t="s">
        <v>93</v>
      </c>
      <c r="H17" s="2" t="s">
        <v>25</v>
      </c>
      <c r="I17" s="2" t="s">
        <v>18</v>
      </c>
      <c r="J17" s="2">
        <v>8</v>
      </c>
      <c r="K17" s="2">
        <v>10</v>
      </c>
      <c r="L17" s="2" t="s">
        <v>18</v>
      </c>
      <c r="M17" s="2" t="s">
        <v>18</v>
      </c>
      <c r="N17" s="2" t="s">
        <v>100</v>
      </c>
      <c r="O17" s="3" t="s">
        <v>108</v>
      </c>
    </row>
    <row r="18" spans="1:15" ht="105" x14ac:dyDescent="0.25">
      <c r="A18" s="8" t="s">
        <v>119</v>
      </c>
      <c r="B18" s="7" t="s">
        <v>16</v>
      </c>
      <c r="C18" s="10">
        <v>143400</v>
      </c>
      <c r="D18" s="10">
        <v>2868</v>
      </c>
      <c r="E18" s="6"/>
      <c r="F18" s="2" t="s">
        <v>89</v>
      </c>
      <c r="G18" s="2" t="s">
        <v>93</v>
      </c>
      <c r="H18" s="2" t="s">
        <v>25</v>
      </c>
      <c r="I18" s="2" t="s">
        <v>18</v>
      </c>
      <c r="J18" s="2">
        <v>8</v>
      </c>
      <c r="K18" s="2">
        <v>10</v>
      </c>
      <c r="L18" s="2" t="s">
        <v>18</v>
      </c>
      <c r="M18" s="2" t="s">
        <v>18</v>
      </c>
      <c r="N18" s="2" t="s">
        <v>100</v>
      </c>
      <c r="O18" s="3" t="s">
        <v>108</v>
      </c>
    </row>
    <row r="19" spans="1:15" ht="105" x14ac:dyDescent="0.25">
      <c r="A19" s="8" t="s">
        <v>41</v>
      </c>
      <c r="B19" s="7" t="s">
        <v>16</v>
      </c>
      <c r="C19" s="10">
        <v>86040</v>
      </c>
      <c r="D19" s="10">
        <v>1720.8000000000002</v>
      </c>
      <c r="E19" s="6"/>
      <c r="F19" s="2" t="s">
        <v>21</v>
      </c>
      <c r="G19" s="2" t="s">
        <v>94</v>
      </c>
      <c r="H19" s="2" t="s">
        <v>94</v>
      </c>
      <c r="I19" s="2" t="s">
        <v>18</v>
      </c>
      <c r="J19" s="2">
        <v>0</v>
      </c>
      <c r="K19" s="2">
        <v>2</v>
      </c>
      <c r="L19" s="2" t="s">
        <v>18</v>
      </c>
      <c r="M19" s="2" t="s">
        <v>18</v>
      </c>
      <c r="N19" s="2" t="s">
        <v>100</v>
      </c>
      <c r="O19" s="3" t="s">
        <v>108</v>
      </c>
    </row>
    <row r="20" spans="1:15" ht="105" x14ac:dyDescent="0.25">
      <c r="A20" s="8" t="s">
        <v>42</v>
      </c>
      <c r="B20" s="7" t="s">
        <v>16</v>
      </c>
      <c r="C20" s="10">
        <v>19120</v>
      </c>
      <c r="D20" s="10">
        <v>382.40000000000003</v>
      </c>
      <c r="E20" s="6"/>
      <c r="F20" s="2" t="s">
        <v>21</v>
      </c>
      <c r="G20" s="2" t="s">
        <v>90</v>
      </c>
      <c r="H20" s="2" t="s">
        <v>18</v>
      </c>
      <c r="I20" s="2" t="s">
        <v>19</v>
      </c>
      <c r="J20" s="2">
        <v>2</v>
      </c>
      <c r="K20" s="2">
        <v>4</v>
      </c>
      <c r="L20" s="2" t="s">
        <v>18</v>
      </c>
      <c r="M20" s="2" t="s">
        <v>18</v>
      </c>
      <c r="N20" s="2" t="s">
        <v>100</v>
      </c>
      <c r="O20" s="3" t="s">
        <v>107</v>
      </c>
    </row>
    <row r="21" spans="1:15" ht="105" x14ac:dyDescent="0.25">
      <c r="A21" s="8" t="s">
        <v>43</v>
      </c>
      <c r="B21" s="7" t="s">
        <v>16</v>
      </c>
      <c r="C21" s="10">
        <v>47800</v>
      </c>
      <c r="D21" s="10">
        <v>956.00000000000011</v>
      </c>
      <c r="E21" s="6"/>
      <c r="F21" s="2" t="s">
        <v>21</v>
      </c>
      <c r="G21" s="2" t="s">
        <v>90</v>
      </c>
      <c r="H21" s="2" t="s">
        <v>18</v>
      </c>
      <c r="I21" s="2" t="s">
        <v>19</v>
      </c>
      <c r="J21" s="2">
        <v>4</v>
      </c>
      <c r="K21" s="2">
        <v>6</v>
      </c>
      <c r="L21" s="2" t="s">
        <v>18</v>
      </c>
      <c r="M21" s="2" t="s">
        <v>18</v>
      </c>
      <c r="N21" s="2" t="s">
        <v>100</v>
      </c>
      <c r="O21" s="3" t="s">
        <v>107</v>
      </c>
    </row>
    <row r="22" spans="1:15" ht="105" x14ac:dyDescent="0.25">
      <c r="A22" s="8" t="s">
        <v>44</v>
      </c>
      <c r="B22" s="7" t="s">
        <v>16</v>
      </c>
      <c r="C22" s="10">
        <v>28680</v>
      </c>
      <c r="D22" s="10">
        <v>573.6</v>
      </c>
      <c r="E22" s="6"/>
      <c r="F22" s="2" t="s">
        <v>21</v>
      </c>
      <c r="G22" s="2" t="s">
        <v>90</v>
      </c>
      <c r="H22" s="2" t="s">
        <v>45</v>
      </c>
      <c r="I22" s="2" t="s">
        <v>95</v>
      </c>
      <c r="J22" s="2">
        <v>1</v>
      </c>
      <c r="K22" s="2">
        <v>2</v>
      </c>
      <c r="L22" s="2" t="s">
        <v>18</v>
      </c>
      <c r="M22" s="2" t="s">
        <v>18</v>
      </c>
      <c r="N22" s="2" t="s">
        <v>100</v>
      </c>
      <c r="O22" s="3" t="s">
        <v>104</v>
      </c>
    </row>
    <row r="23" spans="1:15" ht="105" x14ac:dyDescent="0.25">
      <c r="A23" s="8" t="s">
        <v>46</v>
      </c>
      <c r="B23" s="7" t="s">
        <v>16</v>
      </c>
      <c r="C23" s="10">
        <v>124280</v>
      </c>
      <c r="D23" s="10">
        <v>2485.6</v>
      </c>
      <c r="E23" s="6"/>
      <c r="F23" s="2" t="s">
        <v>21</v>
      </c>
      <c r="G23" s="2" t="s">
        <v>90</v>
      </c>
      <c r="H23" s="2" t="s">
        <v>47</v>
      </c>
      <c r="I23" s="2" t="s">
        <v>19</v>
      </c>
      <c r="J23" s="2">
        <v>2</v>
      </c>
      <c r="K23" s="2">
        <v>4</v>
      </c>
      <c r="L23" s="2" t="s">
        <v>18</v>
      </c>
      <c r="M23" s="2" t="s">
        <v>18</v>
      </c>
      <c r="N23" s="2" t="s">
        <v>100</v>
      </c>
      <c r="O23" s="3" t="s">
        <v>107</v>
      </c>
    </row>
    <row r="24" spans="1:15" ht="105" x14ac:dyDescent="0.25">
      <c r="A24" s="8" t="s">
        <v>48</v>
      </c>
      <c r="B24" s="7" t="s">
        <v>16</v>
      </c>
      <c r="C24" s="10">
        <v>124280</v>
      </c>
      <c r="D24" s="10">
        <v>2485.6000000000004</v>
      </c>
      <c r="E24" s="6"/>
      <c r="F24" s="2" t="s">
        <v>90</v>
      </c>
      <c r="G24" s="2" t="s">
        <v>49</v>
      </c>
      <c r="H24" s="2" t="s">
        <v>18</v>
      </c>
      <c r="I24" s="2" t="s">
        <v>18</v>
      </c>
      <c r="J24" s="2">
        <v>6</v>
      </c>
      <c r="K24" s="2">
        <v>8</v>
      </c>
      <c r="L24" s="2" t="s">
        <v>18</v>
      </c>
      <c r="M24" s="2" t="s">
        <v>18</v>
      </c>
      <c r="N24" s="2" t="s">
        <v>100</v>
      </c>
      <c r="O24" s="3" t="s">
        <v>108</v>
      </c>
    </row>
    <row r="25" spans="1:15" ht="105" x14ac:dyDescent="0.25">
      <c r="A25" s="8" t="s">
        <v>50</v>
      </c>
      <c r="B25" s="7" t="s">
        <v>16</v>
      </c>
      <c r="C25" s="10">
        <v>9560</v>
      </c>
      <c r="D25" s="10">
        <v>191.20000000000002</v>
      </c>
      <c r="E25" s="6"/>
      <c r="F25" s="2" t="s">
        <v>21</v>
      </c>
      <c r="G25" s="2" t="s">
        <v>51</v>
      </c>
      <c r="H25" s="2" t="s">
        <v>18</v>
      </c>
      <c r="I25" s="2" t="s">
        <v>52</v>
      </c>
      <c r="J25" s="2">
        <v>4</v>
      </c>
      <c r="K25" s="2">
        <v>6</v>
      </c>
      <c r="L25" s="2" t="s">
        <v>18</v>
      </c>
      <c r="M25" s="2" t="s">
        <v>18</v>
      </c>
      <c r="N25" s="2" t="s">
        <v>100</v>
      </c>
      <c r="O25" s="3" t="s">
        <v>109</v>
      </c>
    </row>
    <row r="26" spans="1:15" ht="105" x14ac:dyDescent="0.25">
      <c r="A26" s="8" t="s">
        <v>53</v>
      </c>
      <c r="B26" s="7" t="s">
        <v>16</v>
      </c>
      <c r="C26" s="10">
        <v>105160</v>
      </c>
      <c r="D26" s="10">
        <v>2103.2000000000003</v>
      </c>
      <c r="E26" s="6"/>
      <c r="F26" s="2" t="s">
        <v>21</v>
      </c>
      <c r="G26" s="2" t="s">
        <v>90</v>
      </c>
      <c r="H26" s="2" t="s">
        <v>18</v>
      </c>
      <c r="I26" s="2" t="s">
        <v>18</v>
      </c>
      <c r="J26" s="2">
        <v>3</v>
      </c>
      <c r="K26" s="2">
        <v>6</v>
      </c>
      <c r="L26" s="2" t="s">
        <v>18</v>
      </c>
      <c r="M26" s="2" t="s">
        <v>18</v>
      </c>
      <c r="N26" s="2" t="s">
        <v>100</v>
      </c>
      <c r="O26" s="3" t="s">
        <v>108</v>
      </c>
    </row>
    <row r="27" spans="1:15" ht="28.5" customHeight="1" x14ac:dyDescent="0.25">
      <c r="A27" s="8" t="s">
        <v>54</v>
      </c>
      <c r="B27" s="7" t="s">
        <v>16</v>
      </c>
      <c r="C27" s="10">
        <v>9560</v>
      </c>
      <c r="D27" s="10">
        <v>191.20000000000002</v>
      </c>
      <c r="E27" s="6"/>
      <c r="F27" s="2" t="s">
        <v>21</v>
      </c>
      <c r="G27" s="2" t="s">
        <v>90</v>
      </c>
      <c r="H27" s="2" t="s">
        <v>18</v>
      </c>
      <c r="I27" s="2" t="s">
        <v>18</v>
      </c>
      <c r="J27" s="2">
        <v>2</v>
      </c>
      <c r="K27" s="2">
        <v>4</v>
      </c>
      <c r="L27" s="2" t="s">
        <v>18</v>
      </c>
      <c r="M27" s="2" t="s">
        <v>18</v>
      </c>
      <c r="N27" s="2" t="s">
        <v>100</v>
      </c>
      <c r="O27" s="3" t="s">
        <v>110</v>
      </c>
    </row>
    <row r="28" spans="1:15" ht="105" x14ac:dyDescent="0.25">
      <c r="A28" s="8" t="s">
        <v>55</v>
      </c>
      <c r="B28" s="7" t="s">
        <v>16</v>
      </c>
      <c r="C28" s="10">
        <v>822160</v>
      </c>
      <c r="D28" s="10">
        <v>16443.2</v>
      </c>
      <c r="E28" s="6"/>
      <c r="F28" s="2" t="s">
        <v>91</v>
      </c>
      <c r="G28" s="2" t="s">
        <v>96</v>
      </c>
      <c r="H28" s="2" t="s">
        <v>18</v>
      </c>
      <c r="I28" s="2" t="s">
        <v>18</v>
      </c>
      <c r="J28" s="2">
        <v>2</v>
      </c>
      <c r="K28" s="2">
        <v>4</v>
      </c>
      <c r="L28" s="2" t="s">
        <v>18</v>
      </c>
      <c r="M28" s="2" t="s">
        <v>18</v>
      </c>
      <c r="N28" s="2" t="s">
        <v>100</v>
      </c>
      <c r="O28" s="3" t="s">
        <v>102</v>
      </c>
    </row>
    <row r="29" spans="1:15" ht="105" x14ac:dyDescent="0.25">
      <c r="A29" s="8" t="s">
        <v>56</v>
      </c>
      <c r="B29" s="12" t="s">
        <v>57</v>
      </c>
      <c r="C29" s="10">
        <v>200760</v>
      </c>
      <c r="D29" s="10">
        <v>4015.2</v>
      </c>
      <c r="E29" s="6"/>
      <c r="F29" s="2" t="s">
        <v>91</v>
      </c>
      <c r="G29" s="2" t="s">
        <v>93</v>
      </c>
      <c r="H29" s="2" t="s">
        <v>18</v>
      </c>
      <c r="I29" s="2" t="s">
        <v>18</v>
      </c>
      <c r="J29" s="2">
        <v>4</v>
      </c>
      <c r="K29" s="2">
        <v>6</v>
      </c>
      <c r="L29" s="2" t="s">
        <v>18</v>
      </c>
      <c r="M29" s="2" t="s">
        <v>18</v>
      </c>
      <c r="N29" s="2" t="s">
        <v>100</v>
      </c>
      <c r="O29" s="3" t="s">
        <v>102</v>
      </c>
    </row>
    <row r="30" spans="1:15" ht="27" customHeight="1" x14ac:dyDescent="0.25">
      <c r="A30" s="8" t="s">
        <v>58</v>
      </c>
      <c r="B30" s="7" t="s">
        <v>16</v>
      </c>
      <c r="C30" s="10">
        <v>19120</v>
      </c>
      <c r="D30" s="10">
        <v>382.40000000000003</v>
      </c>
      <c r="E30" s="6"/>
      <c r="F30" s="2" t="s">
        <v>17</v>
      </c>
      <c r="G30" s="2" t="s">
        <v>18</v>
      </c>
      <c r="H30" s="2" t="s">
        <v>18</v>
      </c>
      <c r="I30" s="2" t="s">
        <v>18</v>
      </c>
      <c r="J30" s="2">
        <v>3</v>
      </c>
      <c r="K30" s="2">
        <v>5</v>
      </c>
      <c r="L30" s="2" t="s">
        <v>18</v>
      </c>
      <c r="M30" s="2" t="s">
        <v>18</v>
      </c>
      <c r="N30" s="2" t="s">
        <v>100</v>
      </c>
      <c r="O30" s="3" t="s">
        <v>111</v>
      </c>
    </row>
    <row r="31" spans="1:15" ht="105" x14ac:dyDescent="0.25">
      <c r="A31" s="8" t="s">
        <v>59</v>
      </c>
      <c r="B31" s="7" t="s">
        <v>16</v>
      </c>
      <c r="C31" s="10">
        <v>114720</v>
      </c>
      <c r="D31" s="10">
        <v>2294.4</v>
      </c>
      <c r="E31" s="6"/>
      <c r="F31" s="2" t="s">
        <v>88</v>
      </c>
      <c r="G31" s="2" t="s">
        <v>18</v>
      </c>
      <c r="H31" s="2" t="s">
        <v>25</v>
      </c>
      <c r="I31" s="2" t="s">
        <v>18</v>
      </c>
      <c r="J31" s="2">
        <v>4</v>
      </c>
      <c r="K31" s="2">
        <v>6</v>
      </c>
      <c r="L31" s="2" t="s">
        <v>18</v>
      </c>
      <c r="M31" s="2" t="s">
        <v>18</v>
      </c>
      <c r="N31" s="2" t="s">
        <v>100</v>
      </c>
      <c r="O31" s="3" t="s">
        <v>112</v>
      </c>
    </row>
    <row r="32" spans="1:15" ht="105" x14ac:dyDescent="0.25">
      <c r="A32" s="8" t="s">
        <v>60</v>
      </c>
      <c r="B32" s="7" t="s">
        <v>16</v>
      </c>
      <c r="C32" s="10">
        <v>783920</v>
      </c>
      <c r="D32" s="10">
        <v>15678.4</v>
      </c>
      <c r="E32" s="6"/>
      <c r="F32" s="2" t="s">
        <v>88</v>
      </c>
      <c r="G32" s="2" t="s">
        <v>18</v>
      </c>
      <c r="H32" s="2" t="s">
        <v>25</v>
      </c>
      <c r="I32" s="2" t="s">
        <v>18</v>
      </c>
      <c r="J32" s="2">
        <v>4</v>
      </c>
      <c r="K32" s="2">
        <v>6</v>
      </c>
      <c r="L32" s="2" t="s">
        <v>18</v>
      </c>
      <c r="M32" s="2" t="s">
        <v>18</v>
      </c>
      <c r="N32" s="2" t="s">
        <v>100</v>
      </c>
      <c r="O32" s="3" t="s">
        <v>112</v>
      </c>
    </row>
    <row r="33" spans="1:15" ht="105" x14ac:dyDescent="0.25">
      <c r="A33" s="8" t="s">
        <v>61</v>
      </c>
      <c r="B33" s="7" t="s">
        <v>16</v>
      </c>
      <c r="C33" s="10">
        <v>57360</v>
      </c>
      <c r="D33" s="10">
        <v>1147.2</v>
      </c>
      <c r="E33" s="6"/>
      <c r="F33" s="2" t="s">
        <v>88</v>
      </c>
      <c r="G33" s="2" t="s">
        <v>96</v>
      </c>
      <c r="H33" s="2" t="s">
        <v>25</v>
      </c>
      <c r="I33" s="2" t="s">
        <v>18</v>
      </c>
      <c r="J33" s="2">
        <v>4</v>
      </c>
      <c r="K33" s="2">
        <v>6</v>
      </c>
      <c r="L33" s="2" t="s">
        <v>18</v>
      </c>
      <c r="M33" s="2" t="s">
        <v>18</v>
      </c>
      <c r="N33" s="2" t="s">
        <v>100</v>
      </c>
      <c r="O33" s="3" t="s">
        <v>112</v>
      </c>
    </row>
    <row r="34" spans="1:15" ht="105" x14ac:dyDescent="0.25">
      <c r="A34" s="8" t="s">
        <v>62</v>
      </c>
      <c r="B34" s="7" t="s">
        <v>16</v>
      </c>
      <c r="C34" s="10">
        <v>19120</v>
      </c>
      <c r="D34" s="10">
        <v>382.4</v>
      </c>
      <c r="E34" s="6"/>
      <c r="F34" s="2" t="s">
        <v>88</v>
      </c>
      <c r="G34" s="2" t="s">
        <v>18</v>
      </c>
      <c r="H34" s="2" t="s">
        <v>25</v>
      </c>
      <c r="I34" s="2" t="s">
        <v>18</v>
      </c>
      <c r="J34" s="2">
        <v>4</v>
      </c>
      <c r="K34" s="2">
        <v>6</v>
      </c>
      <c r="L34" s="2" t="s">
        <v>18</v>
      </c>
      <c r="M34" s="2" t="s">
        <v>18</v>
      </c>
      <c r="N34" s="2" t="s">
        <v>100</v>
      </c>
      <c r="O34" s="3" t="s">
        <v>112</v>
      </c>
    </row>
    <row r="35" spans="1:15" ht="105" x14ac:dyDescent="0.25">
      <c r="A35" s="8" t="s">
        <v>63</v>
      </c>
      <c r="B35" s="7" t="s">
        <v>16</v>
      </c>
      <c r="C35" s="10">
        <v>66920</v>
      </c>
      <c r="D35" s="10">
        <v>1338.4</v>
      </c>
      <c r="E35" s="6"/>
      <c r="F35" s="2" t="s">
        <v>88</v>
      </c>
      <c r="G35" s="2" t="s">
        <v>96</v>
      </c>
      <c r="H35" s="2" t="s">
        <v>25</v>
      </c>
      <c r="I35" s="2" t="s">
        <v>18</v>
      </c>
      <c r="J35" s="2">
        <v>4</v>
      </c>
      <c r="K35" s="2">
        <v>6</v>
      </c>
      <c r="L35" s="2" t="s">
        <v>18</v>
      </c>
      <c r="M35" s="2" t="s">
        <v>18</v>
      </c>
      <c r="N35" s="2" t="s">
        <v>100</v>
      </c>
      <c r="O35" s="3" t="s">
        <v>112</v>
      </c>
    </row>
    <row r="36" spans="1:15" ht="33" customHeight="1" x14ac:dyDescent="0.25">
      <c r="A36" s="8" t="s">
        <v>64</v>
      </c>
      <c r="B36" s="7" t="s">
        <v>16</v>
      </c>
      <c r="C36" s="10">
        <v>219880</v>
      </c>
      <c r="D36" s="10">
        <v>4397.6000000000004</v>
      </c>
      <c r="E36" s="6"/>
      <c r="F36" s="2" t="s">
        <v>21</v>
      </c>
      <c r="G36" s="2" t="s">
        <v>90</v>
      </c>
      <c r="H36" s="2" t="s">
        <v>18</v>
      </c>
      <c r="I36" s="2" t="s">
        <v>18</v>
      </c>
      <c r="J36" s="2">
        <v>2</v>
      </c>
      <c r="K36" s="2">
        <v>4</v>
      </c>
      <c r="L36" s="2" t="s">
        <v>18</v>
      </c>
      <c r="M36" s="2" t="s">
        <v>18</v>
      </c>
      <c r="N36" s="2" t="s">
        <v>100</v>
      </c>
      <c r="O36" s="3" t="s">
        <v>102</v>
      </c>
    </row>
    <row r="37" spans="1:15" ht="93.75" customHeight="1" x14ac:dyDescent="0.25">
      <c r="A37" s="8" t="s">
        <v>65</v>
      </c>
      <c r="B37" s="12" t="s">
        <v>57</v>
      </c>
      <c r="C37" s="10">
        <v>9560</v>
      </c>
      <c r="D37" s="10">
        <v>0</v>
      </c>
      <c r="E37" s="6" t="s">
        <v>66</v>
      </c>
      <c r="F37" s="2" t="s">
        <v>67</v>
      </c>
      <c r="G37" s="2" t="s">
        <v>68</v>
      </c>
      <c r="H37" s="2" t="s">
        <v>18</v>
      </c>
      <c r="I37" s="2" t="s">
        <v>97</v>
      </c>
      <c r="J37" s="2" t="s">
        <v>69</v>
      </c>
      <c r="K37" s="2" t="s">
        <v>70</v>
      </c>
      <c r="L37" s="2" t="s">
        <v>71</v>
      </c>
      <c r="M37" s="2" t="s">
        <v>18</v>
      </c>
      <c r="N37" s="2" t="s">
        <v>100</v>
      </c>
      <c r="O37" s="3" t="s">
        <v>72</v>
      </c>
    </row>
    <row r="38" spans="1:15" ht="105" x14ac:dyDescent="0.25">
      <c r="A38" s="8" t="s">
        <v>73</v>
      </c>
      <c r="B38" s="7" t="s">
        <v>16</v>
      </c>
      <c r="C38" s="10">
        <v>172080</v>
      </c>
      <c r="D38" s="10">
        <v>3441.5999999999995</v>
      </c>
      <c r="E38" s="6"/>
      <c r="F38" s="2" t="s">
        <v>21</v>
      </c>
      <c r="G38" s="2" t="s">
        <v>90</v>
      </c>
      <c r="H38" s="2" t="s">
        <v>18</v>
      </c>
      <c r="I38" s="2" t="s">
        <v>98</v>
      </c>
      <c r="J38" s="2">
        <v>1</v>
      </c>
      <c r="K38" s="2">
        <v>2</v>
      </c>
      <c r="L38" s="2" t="s">
        <v>18</v>
      </c>
      <c r="M38" s="2" t="s">
        <v>18</v>
      </c>
      <c r="N38" s="2" t="s">
        <v>100</v>
      </c>
      <c r="O38" s="3" t="s">
        <v>113</v>
      </c>
    </row>
    <row r="39" spans="1:15" ht="105" x14ac:dyDescent="0.25">
      <c r="A39" s="8" t="s">
        <v>74</v>
      </c>
      <c r="B39" s="7" t="s">
        <v>16</v>
      </c>
      <c r="C39" s="10">
        <v>9560</v>
      </c>
      <c r="D39" s="10">
        <v>191.20000000000002</v>
      </c>
      <c r="E39" s="6"/>
      <c r="F39" s="2" t="s">
        <v>21</v>
      </c>
      <c r="G39" s="2" t="s">
        <v>90</v>
      </c>
      <c r="H39" s="2" t="s">
        <v>18</v>
      </c>
      <c r="I39" s="2" t="s">
        <v>98</v>
      </c>
      <c r="J39" s="2">
        <v>1</v>
      </c>
      <c r="K39" s="2">
        <v>2</v>
      </c>
      <c r="L39" s="2" t="s">
        <v>18</v>
      </c>
      <c r="M39" s="2" t="s">
        <v>18</v>
      </c>
      <c r="N39" s="2" t="s">
        <v>100</v>
      </c>
      <c r="O39" s="3" t="s">
        <v>113</v>
      </c>
    </row>
    <row r="40" spans="1:15" ht="105" x14ac:dyDescent="0.25">
      <c r="A40" s="8" t="s">
        <v>75</v>
      </c>
      <c r="B40" s="7" t="s">
        <v>16</v>
      </c>
      <c r="C40" s="10">
        <v>9560</v>
      </c>
      <c r="D40" s="10">
        <v>191.20000000000002</v>
      </c>
      <c r="E40" s="6"/>
      <c r="F40" s="2" t="s">
        <v>90</v>
      </c>
      <c r="G40" s="2" t="s">
        <v>18</v>
      </c>
      <c r="H40" s="2" t="s">
        <v>98</v>
      </c>
      <c r="I40" s="2" t="s">
        <v>18</v>
      </c>
      <c r="J40" s="2">
        <v>3</v>
      </c>
      <c r="K40" s="2">
        <v>4</v>
      </c>
      <c r="L40" s="2" t="s">
        <v>18</v>
      </c>
      <c r="M40" s="2" t="s">
        <v>18</v>
      </c>
      <c r="N40" s="2" t="s">
        <v>100</v>
      </c>
      <c r="O40" s="3" t="s">
        <v>113</v>
      </c>
    </row>
    <row r="41" spans="1:15" ht="105" x14ac:dyDescent="0.25">
      <c r="A41" s="8" t="s">
        <v>117</v>
      </c>
      <c r="B41" s="7" t="s">
        <v>16</v>
      </c>
      <c r="C41" s="10">
        <v>143400</v>
      </c>
      <c r="D41" s="10">
        <v>2868.0000000000005</v>
      </c>
      <c r="E41" s="6"/>
      <c r="F41" s="2" t="s">
        <v>90</v>
      </c>
      <c r="G41" s="2" t="s">
        <v>18</v>
      </c>
      <c r="H41" s="2" t="s">
        <v>18</v>
      </c>
      <c r="I41" s="2" t="s">
        <v>18</v>
      </c>
      <c r="J41" s="2">
        <v>2</v>
      </c>
      <c r="K41" s="2">
        <v>3</v>
      </c>
      <c r="L41" s="2" t="s">
        <v>18</v>
      </c>
      <c r="M41" s="2" t="s">
        <v>18</v>
      </c>
      <c r="N41" s="2" t="s">
        <v>100</v>
      </c>
      <c r="O41" s="3" t="s">
        <v>102</v>
      </c>
    </row>
    <row r="42" spans="1:15" ht="105" x14ac:dyDescent="0.25">
      <c r="A42" s="8" t="s">
        <v>118</v>
      </c>
      <c r="B42" s="7" t="s">
        <v>16</v>
      </c>
      <c r="C42" s="10">
        <v>9560</v>
      </c>
      <c r="D42" s="10">
        <v>191.20000000000002</v>
      </c>
      <c r="E42" s="6"/>
      <c r="F42" s="2" t="s">
        <v>90</v>
      </c>
      <c r="G42" s="2" t="s">
        <v>18</v>
      </c>
      <c r="H42" s="2" t="s">
        <v>18</v>
      </c>
      <c r="I42" s="2" t="s">
        <v>18</v>
      </c>
      <c r="J42" s="2">
        <v>3</v>
      </c>
      <c r="K42" s="2">
        <v>4</v>
      </c>
      <c r="L42" s="2" t="s">
        <v>18</v>
      </c>
      <c r="M42" s="2" t="s">
        <v>18</v>
      </c>
      <c r="N42" s="2" t="s">
        <v>100</v>
      </c>
      <c r="O42" s="3" t="s">
        <v>102</v>
      </c>
    </row>
    <row r="43" spans="1:15" ht="105" x14ac:dyDescent="0.25">
      <c r="A43" s="8" t="s">
        <v>76</v>
      </c>
      <c r="B43" s="7" t="s">
        <v>16</v>
      </c>
      <c r="C43" s="10">
        <v>315480</v>
      </c>
      <c r="D43" s="10">
        <v>6309.6</v>
      </c>
      <c r="E43" s="6"/>
      <c r="F43" s="2" t="s">
        <v>21</v>
      </c>
      <c r="G43" s="2" t="s">
        <v>18</v>
      </c>
      <c r="H43" s="2" t="s">
        <v>18</v>
      </c>
      <c r="I43" s="2" t="s">
        <v>18</v>
      </c>
      <c r="J43" s="2">
        <v>0</v>
      </c>
      <c r="K43" s="2">
        <v>1</v>
      </c>
      <c r="L43" s="2" t="s">
        <v>18</v>
      </c>
      <c r="M43" s="2" t="s">
        <v>18</v>
      </c>
      <c r="N43" s="2" t="s">
        <v>100</v>
      </c>
      <c r="O43" s="3" t="s">
        <v>114</v>
      </c>
    </row>
    <row r="44" spans="1:15" ht="105" x14ac:dyDescent="0.25">
      <c r="A44" s="8" t="s">
        <v>77</v>
      </c>
      <c r="B44" s="7" t="s">
        <v>16</v>
      </c>
      <c r="C44" s="10">
        <v>28680</v>
      </c>
      <c r="D44" s="10">
        <v>573.6</v>
      </c>
      <c r="E44" s="6"/>
      <c r="F44" s="2" t="s">
        <v>90</v>
      </c>
      <c r="G44" s="2" t="s">
        <v>96</v>
      </c>
      <c r="H44" s="2" t="s">
        <v>18</v>
      </c>
      <c r="I44" s="2" t="s">
        <v>18</v>
      </c>
      <c r="J44" s="2">
        <v>4</v>
      </c>
      <c r="K44" s="2">
        <v>6</v>
      </c>
      <c r="L44" s="2" t="s">
        <v>18</v>
      </c>
      <c r="M44" s="2" t="s">
        <v>18</v>
      </c>
      <c r="N44" s="2" t="s">
        <v>100</v>
      </c>
      <c r="O44" s="3" t="s">
        <v>116</v>
      </c>
    </row>
    <row r="45" spans="1:15" ht="180" x14ac:dyDescent="0.25">
      <c r="A45" s="8" t="s">
        <v>78</v>
      </c>
      <c r="B45" s="7" t="s">
        <v>16</v>
      </c>
      <c r="C45" s="10">
        <v>114720</v>
      </c>
      <c r="D45" s="10">
        <v>2294.4</v>
      </c>
      <c r="E45" s="6"/>
      <c r="F45" s="2" t="s">
        <v>91</v>
      </c>
      <c r="G45" s="2" t="s">
        <v>68</v>
      </c>
      <c r="H45" s="2" t="s">
        <v>18</v>
      </c>
      <c r="I45" s="2" t="s">
        <v>18</v>
      </c>
      <c r="J45" s="2">
        <v>6</v>
      </c>
      <c r="K45" s="2">
        <v>10</v>
      </c>
      <c r="L45" s="2" t="s">
        <v>18</v>
      </c>
      <c r="M45" s="2" t="s">
        <v>18</v>
      </c>
      <c r="N45" s="2" t="s">
        <v>100</v>
      </c>
      <c r="O45" s="3" t="s">
        <v>115</v>
      </c>
    </row>
    <row r="46" spans="1:15" ht="105" x14ac:dyDescent="0.25">
      <c r="A46" s="8" t="s">
        <v>79</v>
      </c>
      <c r="B46" s="7" t="s">
        <v>16</v>
      </c>
      <c r="C46" s="10">
        <v>114720</v>
      </c>
      <c r="D46" s="10">
        <v>2294.4</v>
      </c>
      <c r="E46" s="6"/>
      <c r="F46" s="2" t="s">
        <v>21</v>
      </c>
      <c r="G46" s="2" t="s">
        <v>90</v>
      </c>
      <c r="H46" s="2" t="s">
        <v>18</v>
      </c>
      <c r="I46" s="2" t="s">
        <v>18</v>
      </c>
      <c r="J46" s="2">
        <v>0</v>
      </c>
      <c r="K46" s="2">
        <v>1</v>
      </c>
      <c r="L46" s="2" t="s">
        <v>18</v>
      </c>
      <c r="M46" s="2" t="s">
        <v>18</v>
      </c>
      <c r="N46" s="2" t="s">
        <v>100</v>
      </c>
      <c r="O46" s="3" t="s">
        <v>106</v>
      </c>
    </row>
    <row r="47" spans="1:15" ht="105" x14ac:dyDescent="0.25">
      <c r="A47" s="8" t="s">
        <v>80</v>
      </c>
      <c r="B47" s="7" t="s">
        <v>16</v>
      </c>
      <c r="C47" s="10">
        <v>9560</v>
      </c>
      <c r="D47" s="10">
        <v>191.20000000000002</v>
      </c>
      <c r="E47" s="6"/>
      <c r="F47" s="2" t="s">
        <v>21</v>
      </c>
      <c r="G47" s="2" t="s">
        <v>90</v>
      </c>
      <c r="H47" s="2" t="s">
        <v>18</v>
      </c>
      <c r="I47" s="2" t="s">
        <v>18</v>
      </c>
      <c r="J47" s="2">
        <v>1</v>
      </c>
      <c r="K47" s="2">
        <v>2</v>
      </c>
      <c r="L47" s="2" t="s">
        <v>18</v>
      </c>
      <c r="M47" s="2" t="s">
        <v>18</v>
      </c>
      <c r="N47" s="2" t="s">
        <v>100</v>
      </c>
      <c r="O47" s="3" t="s">
        <v>106</v>
      </c>
    </row>
    <row r="48" spans="1:15" ht="105" x14ac:dyDescent="0.25">
      <c r="A48" s="8" t="s">
        <v>81</v>
      </c>
      <c r="B48" s="7" t="s">
        <v>16</v>
      </c>
      <c r="C48" s="10">
        <v>344160</v>
      </c>
      <c r="D48" s="10">
        <v>6883.2</v>
      </c>
      <c r="E48" s="6"/>
      <c r="F48" s="2" t="s">
        <v>21</v>
      </c>
      <c r="G48" s="2" t="s">
        <v>90</v>
      </c>
      <c r="H48" s="2" t="s">
        <v>18</v>
      </c>
      <c r="I48" s="2" t="s">
        <v>18</v>
      </c>
      <c r="J48" s="2">
        <v>2</v>
      </c>
      <c r="K48" s="2">
        <v>4</v>
      </c>
      <c r="L48" s="2" t="s">
        <v>18</v>
      </c>
      <c r="M48" s="2" t="s">
        <v>18</v>
      </c>
      <c r="N48" s="2" t="s">
        <v>100</v>
      </c>
      <c r="O48" s="3" t="s">
        <v>102</v>
      </c>
    </row>
    <row r="49" spans="1:15" ht="105" x14ac:dyDescent="0.25">
      <c r="A49" s="8" t="s">
        <v>82</v>
      </c>
      <c r="B49" s="7" t="s">
        <v>16</v>
      </c>
      <c r="C49" s="10">
        <v>38240</v>
      </c>
      <c r="D49" s="10">
        <v>0</v>
      </c>
      <c r="E49" s="6"/>
      <c r="F49" s="2" t="s">
        <v>90</v>
      </c>
      <c r="G49" s="2" t="s">
        <v>96</v>
      </c>
      <c r="H49" s="2" t="s">
        <v>18</v>
      </c>
      <c r="I49" s="2" t="s">
        <v>18</v>
      </c>
      <c r="J49" s="2">
        <v>2</v>
      </c>
      <c r="K49" s="2">
        <v>4</v>
      </c>
      <c r="L49" s="2" t="s">
        <v>18</v>
      </c>
      <c r="M49" s="2" t="s">
        <v>18</v>
      </c>
      <c r="N49" s="2" t="s">
        <v>100</v>
      </c>
      <c r="O49" s="3" t="s">
        <v>102</v>
      </c>
    </row>
    <row r="50" spans="1:15" ht="105" x14ac:dyDescent="0.25">
      <c r="A50" s="8" t="s">
        <v>83</v>
      </c>
      <c r="B50" s="7" t="s">
        <v>16</v>
      </c>
      <c r="C50" s="10">
        <v>9560</v>
      </c>
      <c r="D50" s="10">
        <v>956.00000000000011</v>
      </c>
      <c r="E50" s="6"/>
      <c r="F50" s="2" t="s">
        <v>90</v>
      </c>
      <c r="G50" s="2" t="s">
        <v>96</v>
      </c>
      <c r="H50" s="2" t="s">
        <v>25</v>
      </c>
      <c r="I50" s="2" t="s">
        <v>18</v>
      </c>
      <c r="J50" s="2">
        <v>4</v>
      </c>
      <c r="K50" s="2">
        <v>6</v>
      </c>
      <c r="L50" s="2" t="s">
        <v>18</v>
      </c>
      <c r="M50" s="2" t="s">
        <v>18</v>
      </c>
      <c r="N50" s="2" t="s">
        <v>100</v>
      </c>
      <c r="O50" s="3" t="s">
        <v>102</v>
      </c>
    </row>
    <row r="51" spans="1:15" ht="105" x14ac:dyDescent="0.25">
      <c r="A51" s="8" t="s">
        <v>84</v>
      </c>
      <c r="B51" s="7" t="s">
        <v>16</v>
      </c>
      <c r="C51" s="10">
        <v>363280</v>
      </c>
      <c r="D51" s="10">
        <v>7265.6</v>
      </c>
      <c r="E51" s="6"/>
      <c r="F51" s="2" t="s">
        <v>90</v>
      </c>
      <c r="G51" s="2" t="s">
        <v>18</v>
      </c>
      <c r="H51" s="2" t="s">
        <v>18</v>
      </c>
      <c r="I51" s="2" t="s">
        <v>18</v>
      </c>
      <c r="J51" s="2">
        <v>2</v>
      </c>
      <c r="K51" s="2">
        <v>4</v>
      </c>
      <c r="L51" s="2" t="s">
        <v>18</v>
      </c>
      <c r="M51" s="2" t="s">
        <v>18</v>
      </c>
      <c r="N51" s="2" t="s">
        <v>100</v>
      </c>
      <c r="O51" s="3" t="s">
        <v>102</v>
      </c>
    </row>
    <row r="52" spans="1:15" ht="29.25" customHeight="1" x14ac:dyDescent="0.25">
      <c r="A52" s="8" t="s">
        <v>85</v>
      </c>
      <c r="B52" s="7" t="s">
        <v>16</v>
      </c>
      <c r="C52" s="10">
        <v>86040</v>
      </c>
      <c r="D52" s="10">
        <v>1720.8</v>
      </c>
      <c r="E52" s="6"/>
      <c r="F52" s="2" t="s">
        <v>21</v>
      </c>
      <c r="G52" s="2" t="s">
        <v>18</v>
      </c>
      <c r="H52" s="2" t="s">
        <v>99</v>
      </c>
      <c r="I52" s="2" t="s">
        <v>18</v>
      </c>
      <c r="J52" s="2">
        <v>1</v>
      </c>
      <c r="K52" s="2">
        <v>2</v>
      </c>
      <c r="L52" s="2" t="s">
        <v>18</v>
      </c>
      <c r="M52" s="2" t="s">
        <v>18</v>
      </c>
      <c r="N52" s="2" t="s">
        <v>100</v>
      </c>
      <c r="O52" s="3" t="s">
        <v>105</v>
      </c>
    </row>
    <row r="53" spans="1:15" ht="31.5" customHeight="1" x14ac:dyDescent="0.25">
      <c r="A53" s="8" t="s">
        <v>86</v>
      </c>
      <c r="B53" s="7" t="s">
        <v>16</v>
      </c>
      <c r="C53" s="10">
        <v>114720</v>
      </c>
      <c r="D53" s="10">
        <v>2294.4</v>
      </c>
      <c r="E53" s="6"/>
      <c r="F53" s="2" t="s">
        <v>21</v>
      </c>
      <c r="G53" s="2" t="s">
        <v>18</v>
      </c>
      <c r="H53" s="2" t="s">
        <v>99</v>
      </c>
      <c r="I53" s="2" t="s">
        <v>18</v>
      </c>
      <c r="J53" s="2">
        <v>2</v>
      </c>
      <c r="K53" s="2">
        <v>3</v>
      </c>
      <c r="L53" s="2" t="s">
        <v>18</v>
      </c>
      <c r="M53" s="2" t="s">
        <v>18</v>
      </c>
      <c r="N53" s="2" t="s">
        <v>100</v>
      </c>
      <c r="O53" s="3" t="s">
        <v>105</v>
      </c>
    </row>
    <row r="54" spans="1:15" x14ac:dyDescent="0.25">
      <c r="A54" s="11" t="s">
        <v>87</v>
      </c>
      <c r="C54" s="9">
        <f>SUM(C2:C53)</f>
        <v>9292320</v>
      </c>
      <c r="D54" s="9">
        <f>SUM(D2:D53)</f>
        <v>185655.20000000004</v>
      </c>
      <c r="E54" s="9">
        <f>SUM(C54:D54)</f>
        <v>9477975.1999999993</v>
      </c>
    </row>
    <row r="55" spans="1:15" x14ac:dyDescent="0.25">
      <c r="C55" s="14"/>
    </row>
    <row r="56" spans="1:15" ht="50.25" customHeight="1" x14ac:dyDescent="0.25">
      <c r="A56" s="13" t="s">
        <v>92</v>
      </c>
      <c r="B56" s="13"/>
      <c r="C56" s="13"/>
      <c r="D56" s="13"/>
      <c r="E56" s="13"/>
      <c r="F56" s="13"/>
      <c r="G56" s="13"/>
    </row>
  </sheetData>
  <autoFilter ref="A1:O54" xr:uid="{00000000-0001-0000-0000-000000000000}"/>
  <sortState xmlns:xlrd2="http://schemas.microsoft.com/office/spreadsheetml/2017/richdata2" ref="A2:I22">
    <sortCondition ref="A2:A22"/>
  </sortState>
  <mergeCells count="1">
    <mergeCell ref="A56:G56"/>
  </mergeCells>
  <pageMargins left="0" right="0" top="0" bottom="0" header="0" footer="0"/>
  <pageSetup scale="14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F1ADB86DA3C3C498E15D2939F750F6B" ma:contentTypeVersion="15" ma:contentTypeDescription="Create a new document." ma:contentTypeScope="" ma:versionID="02159f81d82260c381ac748748145d98">
  <xsd:schema xmlns:xsd="http://www.w3.org/2001/XMLSchema" xmlns:xs="http://www.w3.org/2001/XMLSchema" xmlns:p="http://schemas.microsoft.com/office/2006/metadata/properties" xmlns:ns1="http://schemas.microsoft.com/sharepoint/v3" xmlns:ns2="a6d34a28-1b06-4c21-8823-38f14f98de6d" xmlns:ns3="ff5f3d7e-bc6e-44a8-8b33-474260a2c6bd" targetNamespace="http://schemas.microsoft.com/office/2006/metadata/properties" ma:root="true" ma:fieldsID="093de65bac6506d07eda3ea403bbfff5" ns1:_="" ns2:_="" ns3:_="">
    <xsd:import namespace="http://schemas.microsoft.com/sharepoint/v3"/>
    <xsd:import namespace="a6d34a28-1b06-4c21-8823-38f14f98de6d"/>
    <xsd:import namespace="ff5f3d7e-bc6e-44a8-8b33-474260a2c6b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d34a28-1b06-4c21-8823-38f14f98de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5f3d7e-bc6e-44a8-8b33-474260a2c6b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bcf35b8-85bb-4784-9a4f-cbda4f7a1ac7}" ma:internalName="TaxCatchAll" ma:showField="CatchAllData" ma:web="ff5f3d7e-bc6e-44a8-8b33-474260a2c6b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6d34a28-1b06-4c21-8823-38f14f98de6d">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TaxCatchAll xmlns="ff5f3d7e-bc6e-44a8-8b33-474260a2c6bd" xsi:nil="true"/>
  </documentManagement>
</p:properties>
</file>

<file path=customXml/itemProps1.xml><?xml version="1.0" encoding="utf-8"?>
<ds:datastoreItem xmlns:ds="http://schemas.openxmlformats.org/officeDocument/2006/customXml" ds:itemID="{0DFC7D07-1BCC-4007-A26A-1EE1B5686092}">
  <ds:schemaRefs>
    <ds:schemaRef ds:uri="http://schemas.microsoft.com/sharepoint/v3/contenttype/forms"/>
  </ds:schemaRefs>
</ds:datastoreItem>
</file>

<file path=customXml/itemProps2.xml><?xml version="1.0" encoding="utf-8"?>
<ds:datastoreItem xmlns:ds="http://schemas.openxmlformats.org/officeDocument/2006/customXml" ds:itemID="{52BC5F9F-B0E7-4857-BAEB-CA4ADC98E7FB}"/>
</file>

<file path=customXml/itemProps3.xml><?xml version="1.0" encoding="utf-8"?>
<ds:datastoreItem xmlns:ds="http://schemas.openxmlformats.org/officeDocument/2006/customXml" ds:itemID="{BF37DC72-6901-4942-94BF-9C5F49BA5665}">
  <ds:schemaRefs>
    <ds:schemaRef ds:uri="http://schemas.microsoft.com/office/2006/metadata/properties"/>
    <ds:schemaRef ds:uri="http://schemas.microsoft.com/office/infopath/2007/PartnerControls"/>
    <ds:schemaRef ds:uri="a6d34a28-1b06-4c21-8823-38f14f98de6d"/>
    <ds:schemaRef ds:uri="http://schemas.microsoft.com/sharepoint/v3"/>
    <ds:schemaRef ds:uri="ff5f3d7e-bc6e-44a8-8b33-474260a2c6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Key and Non Personnel Desc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2025-11-05T18:50:44Z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0x010100BF1ADB86DA3C3C498E15D2939F750F6B</vt:lpwstr>
  </property>
  <property fmtid="{D5CDD505-2E9C-101B-9397-08002B2CF9AE}" pid="3" name="MediaServiceImageTags">
    <vt:lpwstr/>
  </property>
  <property fmtid="{D5CDD505-2E9C-101B-9397-08002B2CF9AE}" pid="4" name="MSIP_Label_4cab87e7-ddd1-4f76-bd4a-59a91eabc62f_Enabled">
    <vt:lpwstr>True</vt:lpwstr>
  </property>
  <property fmtid="{D5CDD505-2E9C-101B-9397-08002B2CF9AE}" pid="5" name="MSIP_Label_4cab87e7-ddd1-4f76-bd4a-59a91eabc62f_SiteId">
    <vt:lpwstr>e3333e00-c877-4b87-b6ad-45e942de1750</vt:lpwstr>
  </property>
  <property fmtid="{D5CDD505-2E9C-101B-9397-08002B2CF9AE}" pid="6" name="MSIP_Label_4cab87e7-ddd1-4f76-bd4a-59a91eabc62f_SetDate">
    <vt:lpwstr>2025-06-04T18:25:23Z</vt:lpwstr>
  </property>
  <property fmtid="{D5CDD505-2E9C-101B-9397-08002B2CF9AE}" pid="7" name="MSIP_Label_4cab87e7-ddd1-4f76-bd4a-59a91eabc62f_Name">
    <vt:lpwstr>CUI (General) \ CUI</vt:lpwstr>
  </property>
  <property fmtid="{D5CDD505-2E9C-101B-9397-08002B2CF9AE}" pid="8" name="MSIP_Label_4cab87e7-ddd1-4f76-bd4a-59a91eabc62f_ActionId">
    <vt:lpwstr>fd944fad-eef0-4f5d-81ec-7946f377d087</vt:lpwstr>
  </property>
  <property fmtid="{D5CDD505-2E9C-101B-9397-08002B2CF9AE}" pid="9" name="MSIP_Label_4cab87e7-ddd1-4f76-bd4a-59a91eabc62f_Removed">
    <vt:lpwstr>False</vt:lpwstr>
  </property>
  <property fmtid="{D5CDD505-2E9C-101B-9397-08002B2CF9AE}" pid="10" name="MSIP_Label_4cab87e7-ddd1-4f76-bd4a-59a91eabc62f_Parent">
    <vt:lpwstr>3d959acc-7b72-4dc3-a466-d90e44b6908d</vt:lpwstr>
  </property>
  <property fmtid="{D5CDD505-2E9C-101B-9397-08002B2CF9AE}" pid="11" name="MSIP_Label_4cab87e7-ddd1-4f76-bd4a-59a91eabc62f_Extended_MSFT_Method">
    <vt:lpwstr>Standard</vt:lpwstr>
  </property>
  <property fmtid="{D5CDD505-2E9C-101B-9397-08002B2CF9AE}" pid="12" name="MSIP_Label_3d959acc-7b72-4dc3-a466-d90e44b6908d_Enabled">
    <vt:lpwstr>True</vt:lpwstr>
  </property>
  <property fmtid="{D5CDD505-2E9C-101B-9397-08002B2CF9AE}" pid="13" name="MSIP_Label_3d959acc-7b72-4dc3-a466-d90e44b6908d_SiteId">
    <vt:lpwstr>e3333e00-c877-4b87-b6ad-45e942de1750</vt:lpwstr>
  </property>
  <property fmtid="{D5CDD505-2E9C-101B-9397-08002B2CF9AE}" pid="14" name="MSIP_Label_3d959acc-7b72-4dc3-a466-d90e44b6908d_SetDate">
    <vt:lpwstr>2025-06-04T18:25:23Z</vt:lpwstr>
  </property>
  <property fmtid="{D5CDD505-2E9C-101B-9397-08002B2CF9AE}" pid="15" name="MSIP_Label_3d959acc-7b72-4dc3-a466-d90e44b6908d_Name">
    <vt:lpwstr>CUI (General)</vt:lpwstr>
  </property>
  <property fmtid="{D5CDD505-2E9C-101B-9397-08002B2CF9AE}" pid="16" name="MSIP_Label_3d959acc-7b72-4dc3-a466-d90e44b6908d_ActionId">
    <vt:lpwstr>6921ba65-5b99-47ca-8b02-de6a22c5a889</vt:lpwstr>
  </property>
  <property fmtid="{D5CDD505-2E9C-101B-9397-08002B2CF9AE}" pid="17" name="MSIP_Label_3d959acc-7b72-4dc3-a466-d90e44b6908d_Extended_MSFT_Method">
    <vt:lpwstr>Standard</vt:lpwstr>
  </property>
  <property fmtid="{D5CDD505-2E9C-101B-9397-08002B2CF9AE}" pid="18" name="Sensitivity">
    <vt:lpwstr>CUI (General) \ CUI CUI (General)</vt:lpwstr>
  </property>
</Properties>
</file>